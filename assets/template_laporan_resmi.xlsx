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tation\BPVP\MONEV\NON BOARDING\NON BATCH I\[BISMAN] ASISTEN PEMBUAT PAKAIAN 2\"/>
    </mc:Choice>
  </mc:AlternateContent>
  <xr:revisionPtr revIDLastSave="0" documentId="13_ncr:1_{C3A4E082-5FF8-4D5E-8CE4-0BC5E9BD91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OLOM ISIAN" sheetId="11" r:id="rId1"/>
    <sheet name="Histogram" sheetId="3" r:id="rId2"/>
    <sheet name="Materi Pelatihan" sheetId="5" r:id="rId3"/>
    <sheet name="Program Pelatihan" sheetId="12" r:id="rId4"/>
    <sheet name="INSTRUKTUR" sheetId="1" r:id="rId5"/>
    <sheet name="Penyelenggaraan" sheetId="10" r:id="rId6"/>
    <sheet name="NILAI INST" sheetId="9" r:id="rId7"/>
  </sheets>
  <definedNames>
    <definedName name="_xlnm.Print_Area" localSheetId="1">Histogram!$A$1:$D$40</definedName>
    <definedName name="_xlnm.Print_Area" localSheetId="4">INSTRUKTUR!$A$1:$AC$22</definedName>
    <definedName name="_xlnm.Print_Area" localSheetId="0">'KOLOM ISIAN'!$A$1:$AC$45</definedName>
    <definedName name="_xlnm.Print_Area" localSheetId="2">'Materi Pelatihan'!$A$1:$AC$31</definedName>
    <definedName name="_xlnm.Print_Area" localSheetId="6">'NILAI INST'!$A$1:$F$27</definedName>
    <definedName name="_xlnm.Print_Area" localSheetId="5">Penyelenggaraan!$A$1:$AC$22</definedName>
    <definedName name="_xlnm.Print_Area" localSheetId="3">'Program Pelatihan'!$A$1:$AC$20</definedName>
  </definedNames>
  <calcPr calcId="191029" iterateDelta="1E-4"/>
</workbook>
</file>

<file path=xl/calcChain.xml><?xml version="1.0" encoding="utf-8"?>
<calcChain xmlns="http://schemas.openxmlformats.org/spreadsheetml/2006/main">
  <c r="S17" i="10" l="1"/>
  <c r="S18" i="10"/>
  <c r="S19" i="10"/>
  <c r="S20" i="10"/>
  <c r="S16" i="10"/>
  <c r="D17" i="10"/>
  <c r="E17" i="10"/>
  <c r="F17" i="10"/>
  <c r="G17" i="10"/>
  <c r="H17" i="10"/>
  <c r="I17" i="10"/>
  <c r="J17" i="10"/>
  <c r="K17" i="10"/>
  <c r="L17" i="10"/>
  <c r="M17" i="10"/>
  <c r="N17" i="10"/>
  <c r="S17" i="1"/>
  <c r="S18" i="1"/>
  <c r="S19" i="1"/>
  <c r="S16" i="1"/>
  <c r="S16" i="12"/>
  <c r="S17" i="12"/>
  <c r="S18" i="12"/>
  <c r="S15" i="12"/>
  <c r="S16" i="5"/>
  <c r="S17" i="5"/>
  <c r="S18" i="5"/>
  <c r="S15" i="5"/>
  <c r="C15" i="3"/>
  <c r="C14" i="3"/>
  <c r="S41" i="11"/>
  <c r="AC41" i="11" s="1"/>
  <c r="S42" i="11"/>
  <c r="AC42" i="11" s="1"/>
  <c r="S43" i="11"/>
  <c r="S44" i="11"/>
  <c r="S40" i="11"/>
  <c r="AC40" i="11" s="1"/>
  <c r="S33" i="11"/>
  <c r="S34" i="11"/>
  <c r="AC34" i="11" s="1"/>
  <c r="S35" i="11"/>
  <c r="AC35" i="11" s="1"/>
  <c r="S32" i="11"/>
  <c r="S25" i="11"/>
  <c r="S26" i="11"/>
  <c r="S27" i="11"/>
  <c r="S24" i="11"/>
  <c r="S16" i="11"/>
  <c r="S17" i="11"/>
  <c r="S18" i="11"/>
  <c r="S15" i="11"/>
  <c r="D20" i="10"/>
  <c r="E20" i="10"/>
  <c r="F20" i="10"/>
  <c r="G20" i="10"/>
  <c r="H20" i="10"/>
  <c r="I20" i="10"/>
  <c r="J20" i="10"/>
  <c r="K20" i="10"/>
  <c r="L20" i="10"/>
  <c r="D19" i="10"/>
  <c r="E19" i="10"/>
  <c r="F19" i="10"/>
  <c r="G19" i="10"/>
  <c r="H19" i="10"/>
  <c r="I19" i="10"/>
  <c r="J19" i="10"/>
  <c r="K19" i="10"/>
  <c r="L19" i="10"/>
  <c r="D18" i="10"/>
  <c r="E18" i="10"/>
  <c r="F18" i="10"/>
  <c r="G18" i="10"/>
  <c r="H18" i="10"/>
  <c r="I18" i="10"/>
  <c r="J18" i="10"/>
  <c r="K18" i="10"/>
  <c r="L18" i="10"/>
  <c r="C17" i="10"/>
  <c r="C18" i="10"/>
  <c r="C19" i="10"/>
  <c r="C20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C16" i="10"/>
  <c r="D19" i="1"/>
  <c r="E19" i="1"/>
  <c r="F19" i="1"/>
  <c r="G19" i="1"/>
  <c r="H19" i="1"/>
  <c r="I19" i="1"/>
  <c r="J19" i="1"/>
  <c r="K19" i="1"/>
  <c r="L19" i="1"/>
  <c r="D18" i="1"/>
  <c r="E18" i="1"/>
  <c r="F18" i="1"/>
  <c r="G18" i="1"/>
  <c r="H18" i="1"/>
  <c r="I18" i="1"/>
  <c r="J18" i="1"/>
  <c r="K18" i="1"/>
  <c r="L18" i="1"/>
  <c r="D17" i="1"/>
  <c r="E17" i="1"/>
  <c r="F17" i="1"/>
  <c r="G17" i="1"/>
  <c r="H17" i="1"/>
  <c r="I17" i="1"/>
  <c r="J17" i="1"/>
  <c r="K17" i="1"/>
  <c r="L17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C16" i="1"/>
  <c r="AC43" i="11"/>
  <c r="AC44" i="11"/>
  <c r="AC33" i="11"/>
  <c r="S36" i="11" l="1"/>
  <c r="AC36" i="11" s="1"/>
  <c r="AC32" i="11"/>
  <c r="S45" i="11"/>
  <c r="AC45" i="11" s="1"/>
  <c r="AC26" i="11" l="1"/>
  <c r="AC25" i="11"/>
  <c r="O18" i="5"/>
  <c r="N18" i="5"/>
  <c r="O17" i="5"/>
  <c r="N17" i="5"/>
  <c r="AC27" i="11"/>
  <c r="AC24" i="11"/>
  <c r="AC18" i="11"/>
  <c r="AC17" i="11"/>
  <c r="AC16" i="11"/>
  <c r="AC15" i="11"/>
  <c r="S28" i="11" l="1"/>
  <c r="AC28" i="11" s="1"/>
  <c r="M17" i="5"/>
  <c r="L17" i="5"/>
  <c r="K17" i="5"/>
  <c r="J17" i="5"/>
  <c r="I17" i="5"/>
  <c r="H17" i="5"/>
  <c r="G17" i="5"/>
  <c r="F17" i="5"/>
  <c r="E17" i="5"/>
  <c r="D17" i="5"/>
  <c r="C17" i="5"/>
  <c r="M18" i="5"/>
  <c r="L18" i="5"/>
  <c r="K18" i="5"/>
  <c r="J18" i="5"/>
  <c r="I18" i="5"/>
  <c r="H18" i="5"/>
  <c r="G18" i="5"/>
  <c r="F18" i="5"/>
  <c r="E18" i="5"/>
  <c r="D18" i="5"/>
  <c r="C18" i="5"/>
  <c r="D18" i="12" l="1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C18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C15" i="12"/>
  <c r="M20" i="10" l="1"/>
  <c r="N20" i="10"/>
  <c r="O20" i="10"/>
  <c r="P20" i="10"/>
  <c r="Q20" i="10"/>
  <c r="R20" i="10"/>
  <c r="M19" i="10"/>
  <c r="N19" i="10"/>
  <c r="O19" i="10"/>
  <c r="P19" i="10"/>
  <c r="Q19" i="10"/>
  <c r="R19" i="10"/>
  <c r="M18" i="10"/>
  <c r="N18" i="10"/>
  <c r="O18" i="10"/>
  <c r="P18" i="10"/>
  <c r="Q18" i="10"/>
  <c r="R18" i="10"/>
  <c r="O17" i="10"/>
  <c r="P17" i="10"/>
  <c r="Q17" i="10"/>
  <c r="R17" i="10"/>
  <c r="M18" i="1"/>
  <c r="N18" i="1"/>
  <c r="O18" i="1"/>
  <c r="P18" i="1"/>
  <c r="Q18" i="1"/>
  <c r="R18" i="1"/>
  <c r="M19" i="1"/>
  <c r="N19" i="1"/>
  <c r="O19" i="1"/>
  <c r="P19" i="1"/>
  <c r="Q19" i="1"/>
  <c r="R19" i="1"/>
  <c r="C19" i="1"/>
  <c r="C18" i="1"/>
  <c r="M17" i="1"/>
  <c r="N17" i="1"/>
  <c r="O17" i="1"/>
  <c r="P17" i="1"/>
  <c r="Q17" i="1"/>
  <c r="R17" i="1"/>
  <c r="C17" i="1"/>
  <c r="Q16" i="1"/>
  <c r="R16" i="1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C17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C16" i="12"/>
  <c r="P18" i="5"/>
  <c r="Q18" i="5"/>
  <c r="R18" i="5"/>
  <c r="P17" i="5"/>
  <c r="Q17" i="5"/>
  <c r="R17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C16" i="5"/>
  <c r="C15" i="5"/>
  <c r="E15" i="5"/>
  <c r="D15" i="5"/>
  <c r="B28" i="5"/>
  <c r="AC16" i="12" l="1"/>
  <c r="AC17" i="12"/>
  <c r="AC18" i="12"/>
  <c r="AC17" i="5" l="1"/>
  <c r="AC15" i="12"/>
  <c r="S19" i="12"/>
  <c r="AC19" i="12" s="1"/>
  <c r="AB17" i="5" l="1"/>
  <c r="A3" i="5" l="1"/>
  <c r="A3" i="1" s="1"/>
  <c r="A3" i="10" l="1"/>
  <c r="A3" i="3" s="1"/>
  <c r="A3" i="9" s="1"/>
  <c r="A3" i="12"/>
  <c r="N12" i="1"/>
  <c r="A7" i="5" l="1"/>
  <c r="A7" i="12" s="1"/>
  <c r="A9" i="5"/>
  <c r="A9" i="12" s="1"/>
  <c r="A8" i="5"/>
  <c r="A8" i="12" s="1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AB24" i="11" l="1"/>
  <c r="C13" i="3"/>
  <c r="D13" i="3" s="1"/>
  <c r="S19" i="11"/>
  <c r="C12" i="3" s="1"/>
  <c r="D12" i="3" s="1"/>
  <c r="AB15" i="11"/>
  <c r="AB16" i="11"/>
  <c r="AB17" i="11"/>
  <c r="D15" i="3" l="1"/>
  <c r="D14" i="3"/>
  <c r="AC19" i="11"/>
  <c r="A9" i="9"/>
  <c r="A8" i="9"/>
  <c r="A9" i="3"/>
  <c r="A8" i="3"/>
  <c r="A10" i="10" l="1"/>
  <c r="A9" i="10"/>
  <c r="AC20" i="10" l="1"/>
  <c r="AC19" i="10"/>
  <c r="AC18" i="10"/>
  <c r="AC17" i="10"/>
  <c r="S21" i="10"/>
  <c r="F17" i="9"/>
  <c r="F16" i="9"/>
  <c r="F15" i="9"/>
  <c r="F14" i="9"/>
  <c r="AC15" i="5"/>
  <c r="AC16" i="5"/>
  <c r="AC18" i="5" l="1"/>
  <c r="S20" i="1"/>
  <c r="AC16" i="10"/>
  <c r="S19" i="5"/>
  <c r="AC19" i="5" s="1"/>
  <c r="A8" i="1"/>
  <c r="A9" i="1"/>
  <c r="A8" i="10"/>
  <c r="C16" i="3" l="1"/>
  <c r="D16" i="3" s="1"/>
  <c r="A6" i="9" l="1"/>
  <c r="A6" i="3"/>
  <c r="AC21" i="10" l="1"/>
  <c r="A10" i="1"/>
  <c r="A7" i="9"/>
  <c r="A7" i="3"/>
  <c r="AC19" i="1" l="1"/>
  <c r="AC18" i="1"/>
  <c r="AC17" i="1"/>
  <c r="AC16" i="1"/>
  <c r="AB16" i="1" l="1"/>
  <c r="AB16" i="5"/>
  <c r="AB18" i="5"/>
  <c r="AB15" i="5"/>
  <c r="F18" i="9" l="1"/>
  <c r="AC20" i="1"/>
</calcChain>
</file>

<file path=xl/sharedStrings.xml><?xml version="1.0" encoding="utf-8"?>
<sst xmlns="http://schemas.openxmlformats.org/spreadsheetml/2006/main" count="155" uniqueCount="70">
  <si>
    <t>HASIL EVALUASI</t>
  </si>
  <si>
    <t>No</t>
  </si>
  <si>
    <t>Materi Penilaian</t>
  </si>
  <si>
    <t>Keterangan</t>
  </si>
  <si>
    <t>JUMLAH</t>
  </si>
  <si>
    <t>Jumlah</t>
  </si>
  <si>
    <t>II</t>
  </si>
  <si>
    <t>INSTRUKTUR</t>
  </si>
  <si>
    <t>A</t>
  </si>
  <si>
    <t>B</t>
  </si>
  <si>
    <t>C</t>
  </si>
  <si>
    <t>I</t>
  </si>
  <si>
    <t>MATERI PELATIHAN</t>
  </si>
  <si>
    <t>GRAND TOTAL</t>
  </si>
  <si>
    <t>NO</t>
  </si>
  <si>
    <t>ASPEK PENILAIAN</t>
  </si>
  <si>
    <t>NILAI</t>
  </si>
  <si>
    <t>TOTAL PENILAIAN</t>
  </si>
  <si>
    <t>D</t>
  </si>
  <si>
    <t>NILAI AKHIR</t>
  </si>
  <si>
    <t>KETERANGAN</t>
  </si>
  <si>
    <t xml:space="preserve">            DIREKTORAT JENDERAL PEMBINAAN PELATIHAN DAN PRODUKTIVITAS</t>
  </si>
  <si>
    <t>Jln. DI Panjaitan No 226 Tlp. 3190427 Kendari 93117</t>
  </si>
  <si>
    <t>Peserta (Responden Kusioner)</t>
  </si>
  <si>
    <t xml:space="preserve">   KEMENTERIAN KETENAGAKERJAAN RI</t>
  </si>
  <si>
    <t xml:space="preserve"> </t>
  </si>
  <si>
    <t xml:space="preserve">INSTRUKTUR : </t>
  </si>
  <si>
    <t>III</t>
  </si>
  <si>
    <t>Ket.</t>
  </si>
  <si>
    <t>KEMENTERIAN KETENAGAKERJAAN REPUBLIK INDONESIA</t>
  </si>
  <si>
    <t>DIREKTORAT JENDERAL PEMBINAAN PELATIHAN DAN PRODUKTIVITAS</t>
  </si>
  <si>
    <t>BALAI PELATIHAN VOKASI DAN PRODUKTIVITAS</t>
  </si>
  <si>
    <t>Apakah durasi untuk menyelesaikan pelatihan sudah sesuai?</t>
  </si>
  <si>
    <t>Bagaimana kemampuan Instruktur dalam menyampaikan program pelatihan</t>
  </si>
  <si>
    <t>Bagaimana sikap, disiplin, penampilan, dan teladan Instruktur selama pelatihan</t>
  </si>
  <si>
    <t xml:space="preserve">Apakah informasi pelatihan mudah untuk didapatkan </t>
  </si>
  <si>
    <t>Apakah pendaftaran dan tahapannya mudah untuk dilakukan</t>
  </si>
  <si>
    <t>Apakah petunjuk tata cara pendaftaran jelas dan mudah dipahami</t>
  </si>
  <si>
    <t xml:space="preserve">Apakah program pelatihan jelas dan mudah dipahami </t>
  </si>
  <si>
    <t>PROGRAM PELATIHAN</t>
  </si>
  <si>
    <t>Apakah program pelatihan menarik</t>
  </si>
  <si>
    <t>Apakah program pelatihan bermanfaat</t>
  </si>
  <si>
    <t>Apakah program pelatihan berhasil meningkatkan kompetensi Anda</t>
  </si>
  <si>
    <t>Apakah Instrukur menguasai program pelatihan yang disampaikan</t>
  </si>
  <si>
    <t xml:space="preserve">Bagaimana kemampuan Instruktur dalam mengelola Peserta Pelatihan </t>
  </si>
  <si>
    <t>IV</t>
  </si>
  <si>
    <t xml:space="preserve">PENYELENGGARAAN PELATIHAN </t>
  </si>
  <si>
    <t>NO.</t>
  </si>
  <si>
    <t>Bagaimana pelayanan petugas  terhadap Peserta Pelatihan</t>
  </si>
  <si>
    <t>Apakah pelaksanaan jadwal pelatihan sudah sesuai dengan rencana</t>
  </si>
  <si>
    <t>Apakah perlengkapan Peserta Pelatihan (training material) diberikan tepat waktu? (contoh: atribut pelatihan/seragam/Alat Pelindung Diri/modul/materi/ATK/bahan/ konten/dll)</t>
  </si>
  <si>
    <t>Apakah sarana/prasarana/fasilitas pelatihan sudah memadai?(contoh: kelas/workshop/mesin/alat/website sistem manajemen pembelajaran/dll)</t>
  </si>
  <si>
    <t>Apakah sarana/prasarana/fasilitas penunjang pelatihan sudah memadai (contoh: asrama/tempat ibadah/kantin/toilet/perpustakaan/website lembaga pelatihan/dll)</t>
  </si>
  <si>
    <t>Instruktur</t>
  </si>
  <si>
    <t>PENYELENGGARAAN PELATIHAN</t>
  </si>
  <si>
    <t>Kemampuan dalam menyampaikan Program</t>
  </si>
  <si>
    <t>Kemampuan mengelola peserta</t>
  </si>
  <si>
    <t>Sikap, disiplin, penampilan, dan teladan Instruktur</t>
  </si>
  <si>
    <t>Penguasaan Program Pelatihan</t>
  </si>
  <si>
    <t>Apakah petunjuk tata cara pendaftaran jelas dan mudah dipaham</t>
  </si>
  <si>
    <t>Penyelenggaraan Penilaian</t>
  </si>
  <si>
    <t>Program Penilaian</t>
  </si>
  <si>
    <t>HASIL ANALISIS EVALUASI</t>
  </si>
  <si>
    <t>Apakah sarana/prasarana/fasilitas pelatihan sudah memadai?(contoh: kelas/ workshop/ mesin/alat/ website sistem manajemen pembelajaran/dll)</t>
  </si>
  <si>
    <t xml:space="preserve"> PENYELENGGARAAN PELATIHAN</t>
  </si>
  <si>
    <t>Jumlah Peserta 16 orang</t>
  </si>
  <si>
    <t>PELATIHAN KOMPETENSI BERBASIS PARIWISATA DAN INDUSTRI KREATIF</t>
  </si>
  <si>
    <t xml:space="preserve">PROGRAM PELATIHAN DASAR ASISTEN PEMBUAT PAKAIAN PAKET 2
</t>
  </si>
  <si>
    <t>TGL Senin 3 Agustus S.D Jumat 28 Agustus 2026</t>
  </si>
  <si>
    <t>Nama Instruktur : Kristina, Nathalia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</si>
</sst>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0.0"/>
  </numFmts>
  <fonts count="3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u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1"/>
      <name val="Tahoma"/>
      <family val="2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u/>
      <sz val="9.9"/>
      <color theme="10"/>
      <name val="Calibri"/>
      <family val="2"/>
    </font>
    <font>
      <b/>
      <sz val="13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4"/>
      <color theme="1"/>
      <name val="Arial"/>
      <family val="2"/>
    </font>
    <font>
      <sz val="10"/>
      <color rgb="FF434343"/>
      <name val="Roboto"/>
    </font>
    <font>
      <b/>
      <sz val="11"/>
      <name val="Calibri"/>
      <family val="2"/>
    </font>
    <font>
      <sz val="11"/>
      <color theme="1"/>
      <name val="Arial"/>
      <family val="2"/>
    </font>
    <font>
      <b/>
      <sz val="9.9"/>
      <name val="Arial"/>
      <family val="2"/>
    </font>
    <font>
      <sz val="10"/>
      <name val="Roboto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18" fillId="0" borderId="0"/>
    <xf numFmtId="0" fontId="2" fillId="0" borderId="0"/>
    <xf numFmtId="0" fontId="1" fillId="0" borderId="0"/>
    <xf numFmtId="0" fontId="23" fillId="0" borderId="0" applyNumberFormat="0" applyFill="0" applyBorder="0" applyAlignment="0" applyProtection="0">
      <alignment vertical="top"/>
      <protection locked="0"/>
    </xf>
  </cellStyleXfs>
  <cellXfs count="337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3"/>
    <xf numFmtId="0" fontId="10" fillId="0" borderId="0" xfId="3" applyFont="1"/>
    <xf numFmtId="0" fontId="0" fillId="0" borderId="1" xfId="0" applyBorder="1"/>
    <xf numFmtId="0" fontId="12" fillId="0" borderId="0" xfId="0" applyFont="1"/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5" fontId="13" fillId="0" borderId="5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5" fontId="4" fillId="2" borderId="7" xfId="0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/>
    </xf>
    <xf numFmtId="165" fontId="9" fillId="0" borderId="13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4" fillId="2" borderId="15" xfId="0" applyFont="1" applyFill="1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0" fontId="4" fillId="2" borderId="17" xfId="0" applyFont="1" applyFill="1" applyBorder="1" applyAlignment="1">
      <alignment vertical="center"/>
    </xf>
    <xf numFmtId="0" fontId="4" fillId="2" borderId="18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165" fontId="4" fillId="2" borderId="24" xfId="0" applyNumberFormat="1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8" xfId="0" applyFont="1" applyBorder="1" applyAlignment="1">
      <alignment horizontal="left" vertical="center" wrapText="1"/>
    </xf>
    <xf numFmtId="165" fontId="17" fillId="0" borderId="28" xfId="1" applyNumberFormat="1" applyFont="1" applyBorder="1" applyAlignment="1">
      <alignment horizontal="center" vertical="center"/>
    </xf>
    <xf numFmtId="0" fontId="17" fillId="0" borderId="28" xfId="0" applyFont="1" applyBorder="1" applyAlignment="1">
      <alignment horizontal="left" vertical="center"/>
    </xf>
    <xf numFmtId="0" fontId="6" fillId="0" borderId="0" xfId="3" applyFont="1"/>
    <xf numFmtId="0" fontId="9" fillId="0" borderId="0" xfId="3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2" xfId="0" applyFont="1" applyBorder="1"/>
    <xf numFmtId="0" fontId="6" fillId="0" borderId="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165" fontId="3" fillId="2" borderId="7" xfId="0" applyNumberFormat="1" applyFont="1" applyFill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/>
    </xf>
    <xf numFmtId="0" fontId="0" fillId="2" borderId="16" xfId="0" applyFill="1" applyBorder="1" applyAlignment="1">
      <alignment horizontal="left"/>
    </xf>
    <xf numFmtId="0" fontId="1" fillId="0" borderId="0" xfId="4"/>
    <xf numFmtId="0" fontId="4" fillId="2" borderId="15" xfId="4" applyFont="1" applyFill="1" applyBorder="1" applyAlignment="1">
      <alignment vertical="center"/>
    </xf>
    <xf numFmtId="0" fontId="4" fillId="2" borderId="16" xfId="4" applyFont="1" applyFill="1" applyBorder="1" applyAlignment="1">
      <alignment vertical="center"/>
    </xf>
    <xf numFmtId="0" fontId="4" fillId="2" borderId="17" xfId="4" applyFont="1" applyFill="1" applyBorder="1" applyAlignment="1">
      <alignment vertical="center"/>
    </xf>
    <xf numFmtId="0" fontId="4" fillId="2" borderId="18" xfId="4" applyFont="1" applyFill="1" applyBorder="1" applyAlignment="1">
      <alignment vertical="center"/>
    </xf>
    <xf numFmtId="0" fontId="4" fillId="2" borderId="7" xfId="4" applyFont="1" applyFill="1" applyBorder="1" applyAlignment="1">
      <alignment horizontal="center" vertical="center"/>
    </xf>
    <xf numFmtId="0" fontId="4" fillId="2" borderId="19" xfId="4" applyFont="1" applyFill="1" applyBorder="1" applyAlignment="1">
      <alignment horizontal="center" vertical="center"/>
    </xf>
    <xf numFmtId="0" fontId="4" fillId="2" borderId="20" xfId="4" applyFont="1" applyFill="1" applyBorder="1" applyAlignment="1">
      <alignment horizontal="center" vertical="center"/>
    </xf>
    <xf numFmtId="0" fontId="4" fillId="2" borderId="21" xfId="4" applyFont="1" applyFill="1" applyBorder="1" applyAlignment="1">
      <alignment horizontal="center" vertical="center"/>
    </xf>
    <xf numFmtId="0" fontId="4" fillId="2" borderId="0" xfId="4" applyFont="1" applyFill="1" applyAlignment="1">
      <alignment horizontal="center" vertical="center"/>
    </xf>
    <xf numFmtId="0" fontId="7" fillId="0" borderId="15" xfId="4" applyFont="1" applyBorder="1" applyAlignment="1">
      <alignment horizontal="center" vertical="center"/>
    </xf>
    <xf numFmtId="0" fontId="5" fillId="0" borderId="15" xfId="4" applyFont="1" applyBorder="1" applyAlignment="1">
      <alignment horizontal="center" vertical="center"/>
    </xf>
    <xf numFmtId="0" fontId="4" fillId="0" borderId="15" xfId="4" applyFont="1" applyBorder="1" applyAlignment="1">
      <alignment horizontal="center" vertical="center"/>
    </xf>
    <xf numFmtId="0" fontId="1" fillId="0" borderId="15" xfId="4" applyBorder="1" applyAlignment="1">
      <alignment horizontal="center" vertical="center"/>
    </xf>
    <xf numFmtId="0" fontId="1" fillId="0" borderId="16" xfId="4" applyBorder="1" applyAlignment="1">
      <alignment horizontal="center" vertical="center"/>
    </xf>
    <xf numFmtId="0" fontId="5" fillId="0" borderId="13" xfId="4" applyFont="1" applyBorder="1" applyAlignment="1">
      <alignment horizontal="center" vertical="center" wrapText="1"/>
    </xf>
    <xf numFmtId="165" fontId="2" fillId="0" borderId="13" xfId="4" applyNumberFormat="1" applyFont="1" applyBorder="1" applyAlignment="1">
      <alignment horizontal="center" vertical="center"/>
    </xf>
    <xf numFmtId="0" fontId="1" fillId="0" borderId="13" xfId="4" applyBorder="1" applyAlignment="1">
      <alignment horizontal="center" vertical="center"/>
    </xf>
    <xf numFmtId="0" fontId="4" fillId="0" borderId="14" xfId="4" applyFont="1" applyBorder="1" applyAlignment="1">
      <alignment horizontal="center" vertical="center"/>
    </xf>
    <xf numFmtId="0" fontId="1" fillId="2" borderId="7" xfId="4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1" fillId="2" borderId="16" xfId="4" applyFill="1" applyBorder="1" applyAlignment="1">
      <alignment vertical="center"/>
    </xf>
    <xf numFmtId="0" fontId="4" fillId="0" borderId="0" xfId="4" applyFont="1" applyAlignment="1">
      <alignment horizontal="center"/>
    </xf>
    <xf numFmtId="0" fontId="5" fillId="0" borderId="0" xfId="4" applyFont="1" applyAlignment="1">
      <alignment horizontal="center" vertical="center"/>
    </xf>
    <xf numFmtId="165" fontId="4" fillId="0" borderId="0" xfId="4" applyNumberFormat="1" applyFont="1" applyAlignment="1">
      <alignment horizontal="center" vertical="center"/>
    </xf>
    <xf numFmtId="0" fontId="1" fillId="0" borderId="0" xfId="4" applyAlignment="1">
      <alignment horizontal="center" vertical="center"/>
    </xf>
    <xf numFmtId="0" fontId="4" fillId="0" borderId="0" xfId="4" applyFont="1" applyAlignment="1">
      <alignment horizontal="center" vertical="center"/>
    </xf>
    <xf numFmtId="0" fontId="1" fillId="0" borderId="0" xfId="4" applyAlignment="1">
      <alignment horizontal="center"/>
    </xf>
    <xf numFmtId="0" fontId="1" fillId="0" borderId="0" xfId="4" applyAlignment="1">
      <alignment horizontal="left"/>
    </xf>
    <xf numFmtId="0" fontId="4" fillId="3" borderId="0" xfId="0" applyFont="1" applyFill="1" applyAlignment="1">
      <alignment horizontal="center"/>
    </xf>
    <xf numFmtId="0" fontId="0" fillId="3" borderId="0" xfId="0" applyFill="1"/>
    <xf numFmtId="0" fontId="5" fillId="3" borderId="0" xfId="0" applyFont="1" applyFill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1" fillId="3" borderId="0" xfId="4" applyFill="1"/>
    <xf numFmtId="0" fontId="6" fillId="3" borderId="0" xfId="0" applyFont="1" applyFill="1"/>
    <xf numFmtId="0" fontId="10" fillId="3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3" borderId="0" xfId="3" applyFill="1"/>
    <xf numFmtId="0" fontId="2" fillId="3" borderId="0" xfId="3" applyFill="1" applyAlignment="1">
      <alignment horizontal="center"/>
    </xf>
    <xf numFmtId="0" fontId="10" fillId="3" borderId="0" xfId="3" applyFont="1" applyFill="1" applyAlignment="1">
      <alignment horizontal="center"/>
    </xf>
    <xf numFmtId="0" fontId="10" fillId="3" borderId="0" xfId="3" applyFont="1" applyFill="1"/>
    <xf numFmtId="0" fontId="6" fillId="3" borderId="0" xfId="0" applyFont="1" applyFill="1" applyAlignment="1">
      <alignment horizontal="center" vertical="center"/>
    </xf>
    <xf numFmtId="0" fontId="6" fillId="3" borderId="0" xfId="3" applyFont="1" applyFill="1"/>
    <xf numFmtId="0" fontId="9" fillId="3" borderId="0" xfId="3" applyFont="1" applyFill="1" applyAlignment="1">
      <alignment vertical="center"/>
    </xf>
    <xf numFmtId="0" fontId="3" fillId="3" borderId="0" xfId="0" applyFont="1" applyFill="1" applyAlignment="1">
      <alignment vertical="center"/>
    </xf>
    <xf numFmtId="49" fontId="3" fillId="3" borderId="0" xfId="0" applyNumberFormat="1" applyFont="1" applyFill="1"/>
    <xf numFmtId="0" fontId="6" fillId="3" borderId="0" xfId="3" applyFont="1" applyFill="1" applyAlignment="1">
      <alignment horizontal="center"/>
    </xf>
    <xf numFmtId="0" fontId="3" fillId="3" borderId="0" xfId="0" applyFont="1" applyFill="1"/>
    <xf numFmtId="0" fontId="4" fillId="3" borderId="10" xfId="0" applyFont="1" applyFill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5" fillId="3" borderId="0" xfId="0" applyFont="1" applyFill="1" applyAlignment="1">
      <alignment vertical="top" wrapText="1"/>
    </xf>
    <xf numFmtId="0" fontId="0" fillId="3" borderId="13" xfId="0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6" fillId="3" borderId="0" xfId="3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17" fillId="2" borderId="16" xfId="0" applyFont="1" applyFill="1" applyBorder="1" applyAlignment="1">
      <alignment horizontal="left"/>
    </xf>
    <xf numFmtId="0" fontId="17" fillId="2" borderId="8" xfId="0" applyFont="1" applyFill="1" applyBorder="1" applyAlignment="1">
      <alignment horizontal="left" vertical="center" wrapText="1"/>
    </xf>
    <xf numFmtId="0" fontId="26" fillId="2" borderId="15" xfId="0" applyFont="1" applyFill="1" applyBorder="1" applyAlignment="1">
      <alignment vertical="center"/>
    </xf>
    <xf numFmtId="0" fontId="26" fillId="2" borderId="16" xfId="0" applyFont="1" applyFill="1" applyBorder="1" applyAlignment="1">
      <alignment vertical="center"/>
    </xf>
    <xf numFmtId="0" fontId="26" fillId="2" borderId="17" xfId="0" applyFont="1" applyFill="1" applyBorder="1" applyAlignment="1">
      <alignment vertical="center"/>
    </xf>
    <xf numFmtId="0" fontId="26" fillId="2" borderId="18" xfId="0" applyFont="1" applyFill="1" applyBorder="1" applyAlignment="1">
      <alignment vertical="center"/>
    </xf>
    <xf numFmtId="0" fontId="26" fillId="2" borderId="7" xfId="0" applyFont="1" applyFill="1" applyBorder="1" applyAlignment="1">
      <alignment horizontal="center" vertical="center"/>
    </xf>
    <xf numFmtId="0" fontId="26" fillId="2" borderId="19" xfId="0" applyFont="1" applyFill="1" applyBorder="1" applyAlignment="1">
      <alignment horizontal="center" vertical="center"/>
    </xf>
    <xf numFmtId="0" fontId="26" fillId="2" borderId="20" xfId="0" applyFont="1" applyFill="1" applyBorder="1" applyAlignment="1">
      <alignment horizontal="center" vertical="center"/>
    </xf>
    <xf numFmtId="0" fontId="26" fillId="2" borderId="21" xfId="0" applyFont="1" applyFill="1" applyBorder="1" applyAlignment="1">
      <alignment horizontal="center" vertical="center"/>
    </xf>
    <xf numFmtId="0" fontId="26" fillId="3" borderId="10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vertical="center"/>
    </xf>
    <xf numFmtId="0" fontId="17" fillId="3" borderId="11" xfId="0" applyFont="1" applyFill="1" applyBorder="1" applyAlignment="1">
      <alignment vertical="center"/>
    </xf>
    <xf numFmtId="0" fontId="17" fillId="3" borderId="2" xfId="0" applyFont="1" applyFill="1" applyBorder="1" applyAlignment="1">
      <alignment vertical="center"/>
    </xf>
    <xf numFmtId="0" fontId="17" fillId="3" borderId="13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0" fontId="26" fillId="2" borderId="12" xfId="0" applyFont="1" applyFill="1" applyBorder="1" applyAlignment="1">
      <alignment horizontal="center"/>
    </xf>
    <xf numFmtId="165" fontId="26" fillId="2" borderId="7" xfId="0" applyNumberFormat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26" fillId="2" borderId="9" xfId="0" applyFont="1" applyFill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vertical="center"/>
    </xf>
    <xf numFmtId="0" fontId="17" fillId="2" borderId="15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26" fillId="0" borderId="13" xfId="0" applyFont="1" applyBorder="1" applyAlignment="1">
      <alignment horizontal="center" vertical="center" wrapText="1"/>
    </xf>
    <xf numFmtId="0" fontId="17" fillId="3" borderId="4" xfId="0" applyFont="1" applyFill="1" applyBorder="1" applyAlignment="1">
      <alignment vertical="center"/>
    </xf>
    <xf numFmtId="0" fontId="17" fillId="0" borderId="34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4" fillId="0" borderId="38" xfId="4" applyFont="1" applyBorder="1" applyAlignment="1">
      <alignment horizontal="center" vertical="center"/>
    </xf>
    <xf numFmtId="165" fontId="4" fillId="2" borderId="7" xfId="4" applyNumberFormat="1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17" fillId="0" borderId="39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 wrapText="1"/>
    </xf>
    <xf numFmtId="0" fontId="17" fillId="2" borderId="4" xfId="0" applyFont="1" applyFill="1" applyBorder="1" applyAlignment="1">
      <alignment horizontal="center" vertical="center"/>
    </xf>
    <xf numFmtId="165" fontId="17" fillId="2" borderId="28" xfId="1" applyNumberFormat="1" applyFont="1" applyFill="1" applyBorder="1" applyAlignment="1">
      <alignment horizontal="center" vertical="center"/>
    </xf>
    <xf numFmtId="0" fontId="26" fillId="0" borderId="41" xfId="0" applyFont="1" applyBorder="1" applyAlignment="1">
      <alignment horizontal="left" vertical="center" wrapText="1"/>
    </xf>
    <xf numFmtId="0" fontId="17" fillId="0" borderId="37" xfId="0" applyFont="1" applyBorder="1" applyAlignment="1">
      <alignment horizontal="left" vertical="center" wrapText="1"/>
    </xf>
    <xf numFmtId="0" fontId="17" fillId="0" borderId="25" xfId="0" applyFont="1" applyBorder="1" applyAlignment="1">
      <alignment horizontal="left" vertical="center" wrapText="1"/>
    </xf>
    <xf numFmtId="0" fontId="17" fillId="0" borderId="13" xfId="4" applyFont="1" applyBorder="1" applyAlignment="1">
      <alignment horizontal="center" vertical="center" wrapText="1"/>
    </xf>
    <xf numFmtId="0" fontId="30" fillId="0" borderId="13" xfId="4" applyFont="1" applyBorder="1" applyAlignment="1">
      <alignment horizontal="center" vertical="center"/>
    </xf>
    <xf numFmtId="0" fontId="30" fillId="2" borderId="7" xfId="4" applyFont="1" applyFill="1" applyBorder="1" applyAlignment="1">
      <alignment horizontal="center" vertical="center"/>
    </xf>
    <xf numFmtId="0" fontId="17" fillId="0" borderId="14" xfId="4" applyFont="1" applyBorder="1" applyAlignment="1">
      <alignment vertical="center" wrapText="1"/>
    </xf>
    <xf numFmtId="0" fontId="17" fillId="0" borderId="14" xfId="4" applyFont="1" applyBorder="1" applyAlignment="1">
      <alignment horizontal="left" vertical="center" wrapText="1"/>
    </xf>
    <xf numFmtId="0" fontId="30" fillId="0" borderId="33" xfId="4" applyFont="1" applyBorder="1" applyAlignment="1">
      <alignment horizontal="center" vertical="center"/>
    </xf>
    <xf numFmtId="0" fontId="2" fillId="3" borderId="14" xfId="0" applyFont="1" applyFill="1" applyBorder="1" applyAlignment="1">
      <alignment vertical="center" wrapText="1"/>
    </xf>
    <xf numFmtId="0" fontId="2" fillId="3" borderId="14" xfId="0" applyFont="1" applyFill="1" applyBorder="1" applyAlignment="1">
      <alignment horizontal="left" vertical="center" wrapText="1"/>
    </xf>
    <xf numFmtId="165" fontId="2" fillId="3" borderId="25" xfId="0" applyNumberFormat="1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 wrapText="1"/>
    </xf>
    <xf numFmtId="0" fontId="2" fillId="3" borderId="40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4" applyFont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 wrapText="1"/>
    </xf>
    <xf numFmtId="0" fontId="4" fillId="3" borderId="44" xfId="0" applyFont="1" applyFill="1" applyBorder="1" applyAlignment="1">
      <alignment vertical="center"/>
    </xf>
    <xf numFmtId="0" fontId="0" fillId="3" borderId="26" xfId="0" applyFill="1" applyBorder="1" applyAlignment="1">
      <alignment vertical="center"/>
    </xf>
    <xf numFmtId="0" fontId="26" fillId="0" borderId="11" xfId="0" applyFont="1" applyBorder="1" applyAlignment="1">
      <alignment horizontal="left" vertical="center"/>
    </xf>
    <xf numFmtId="165" fontId="26" fillId="2" borderId="3" xfId="0" applyNumberFormat="1" applyFont="1" applyFill="1" applyBorder="1" applyAlignment="1">
      <alignment horizontal="center" vertical="center"/>
    </xf>
    <xf numFmtId="165" fontId="17" fillId="3" borderId="35" xfId="0" applyNumberFormat="1" applyFont="1" applyFill="1" applyBorder="1" applyAlignment="1">
      <alignment horizontal="center" vertical="center"/>
    </xf>
    <xf numFmtId="0" fontId="26" fillId="3" borderId="46" xfId="0" applyFont="1" applyFill="1" applyBorder="1" applyAlignment="1">
      <alignment vertical="center"/>
    </xf>
    <xf numFmtId="0" fontId="17" fillId="3" borderId="13" xfId="0" applyFont="1" applyFill="1" applyBorder="1" applyAlignment="1">
      <alignment vertical="center" wrapText="1"/>
    </xf>
    <xf numFmtId="0" fontId="17" fillId="3" borderId="13" xfId="0" applyFont="1" applyFill="1" applyBorder="1" applyAlignment="1">
      <alignment horizontal="left" vertical="center" wrapText="1"/>
    </xf>
    <xf numFmtId="0" fontId="17" fillId="3" borderId="35" xfId="0" applyFont="1" applyFill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/>
    </xf>
    <xf numFmtId="0" fontId="17" fillId="0" borderId="13" xfId="0" applyFont="1" applyBorder="1" applyAlignment="1">
      <alignment horizontal="left" vertical="center" wrapText="1"/>
    </xf>
    <xf numFmtId="0" fontId="17" fillId="0" borderId="35" xfId="0" applyFont="1" applyBorder="1" applyAlignment="1">
      <alignment horizontal="left" vertical="center" wrapText="1"/>
    </xf>
    <xf numFmtId="0" fontId="17" fillId="0" borderId="46" xfId="0" applyFont="1" applyBorder="1" applyAlignment="1">
      <alignment horizontal="left"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28" fillId="0" borderId="43" xfId="0" applyFont="1" applyBorder="1" applyAlignment="1">
      <alignment horizontal="right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8" fillId="0" borderId="28" xfId="0" applyFont="1" applyBorder="1" applyAlignment="1">
      <alignment horizontal="right" vertical="center" wrapText="1"/>
    </xf>
    <xf numFmtId="0" fontId="17" fillId="3" borderId="46" xfId="0" applyFont="1" applyFill="1" applyBorder="1" applyAlignment="1">
      <alignment horizontal="center" vertical="center"/>
    </xf>
    <xf numFmtId="165" fontId="17" fillId="3" borderId="46" xfId="0" applyNumberFormat="1" applyFont="1" applyFill="1" applyBorder="1" applyAlignment="1">
      <alignment horizontal="center" vertical="center"/>
    </xf>
    <xf numFmtId="0" fontId="26" fillId="3" borderId="44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32" fillId="4" borderId="7" xfId="0" applyFont="1" applyFill="1" applyBorder="1" applyAlignment="1">
      <alignment horizontal="right" vertical="center" wrapText="1"/>
    </xf>
    <xf numFmtId="0" fontId="32" fillId="5" borderId="7" xfId="0" applyFont="1" applyFill="1" applyBorder="1" applyAlignment="1">
      <alignment horizontal="right" vertical="center" wrapText="1"/>
    </xf>
    <xf numFmtId="165" fontId="17" fillId="0" borderId="7" xfId="0" applyNumberFormat="1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0" fontId="32" fillId="4" borderId="7" xfId="0" applyFont="1" applyFill="1" applyBorder="1" applyAlignment="1">
      <alignment horizontal="center" vertical="center" wrapText="1"/>
    </xf>
    <xf numFmtId="0" fontId="32" fillId="5" borderId="7" xfId="0" applyFont="1" applyFill="1" applyBorder="1" applyAlignment="1">
      <alignment horizontal="center" vertical="center" wrapText="1"/>
    </xf>
    <xf numFmtId="0" fontId="2" fillId="3" borderId="0" xfId="0" applyFont="1" applyFill="1"/>
    <xf numFmtId="165" fontId="17" fillId="3" borderId="7" xfId="0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7" fillId="2" borderId="0" xfId="0" applyFont="1" applyFill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26" fillId="2" borderId="11" xfId="0" applyFont="1" applyFill="1" applyBorder="1" applyAlignment="1">
      <alignment horizontal="center" vertical="center"/>
    </xf>
    <xf numFmtId="0" fontId="26" fillId="2" borderId="22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6" fillId="2" borderId="11" xfId="0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0" fontId="26" fillId="2" borderId="26" xfId="0" applyFont="1" applyFill="1" applyBorder="1" applyAlignment="1">
      <alignment horizontal="center" vertical="center" wrapText="1"/>
    </xf>
    <xf numFmtId="0" fontId="26" fillId="2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6" fillId="2" borderId="10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26" fillId="2" borderId="2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2" borderId="9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26" fillId="3" borderId="10" xfId="0" applyFont="1" applyFill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25" fillId="3" borderId="4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19" fillId="3" borderId="0" xfId="2" applyFont="1" applyFill="1" applyAlignment="1">
      <alignment horizontal="center" vertical="center"/>
    </xf>
    <xf numFmtId="0" fontId="24" fillId="3" borderId="0" xfId="2" applyFont="1" applyFill="1" applyAlignment="1">
      <alignment horizontal="center" vertical="center"/>
    </xf>
    <xf numFmtId="0" fontId="21" fillId="3" borderId="0" xfId="2" applyFont="1" applyFill="1" applyAlignment="1">
      <alignment horizontal="center" vertical="center"/>
    </xf>
    <xf numFmtId="0" fontId="22" fillId="3" borderId="0" xfId="2" applyFont="1" applyFill="1" applyAlignment="1">
      <alignment horizontal="center" vertical="center"/>
    </xf>
    <xf numFmtId="49" fontId="27" fillId="3" borderId="0" xfId="0" applyNumberFormat="1" applyFont="1" applyFill="1" applyAlignment="1">
      <alignment horizontal="center"/>
    </xf>
    <xf numFmtId="0" fontId="26" fillId="2" borderId="10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9" fillId="0" borderId="0" xfId="3" applyFont="1" applyAlignment="1">
      <alignment horizontal="center"/>
    </xf>
    <xf numFmtId="15" fontId="11" fillId="3" borderId="0" xfId="0" applyNumberFormat="1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6" fillId="3" borderId="0" xfId="3" applyFont="1" applyFill="1" applyAlignment="1">
      <alignment horizontal="center" vertical="center"/>
    </xf>
    <xf numFmtId="0" fontId="19" fillId="3" borderId="0" xfId="2" applyFont="1" applyFill="1" applyAlignment="1">
      <alignment horizontal="center"/>
    </xf>
    <xf numFmtId="0" fontId="20" fillId="3" borderId="0" xfId="2" applyFont="1" applyFill="1" applyAlignment="1">
      <alignment horizontal="center"/>
    </xf>
    <xf numFmtId="0" fontId="22" fillId="3" borderId="0" xfId="2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4" fillId="3" borderId="42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9" fillId="2" borderId="12" xfId="5" applyFont="1" applyFill="1" applyBorder="1" applyAlignment="1" applyProtection="1">
      <alignment horizontal="center" vertical="center"/>
    </xf>
    <xf numFmtId="0" fontId="29" fillId="2" borderId="15" xfId="5" applyFont="1" applyFill="1" applyBorder="1" applyAlignment="1" applyProtection="1">
      <alignment horizontal="center" vertical="center"/>
    </xf>
    <xf numFmtId="0" fontId="29" fillId="2" borderId="16" xfId="5" applyFont="1" applyFill="1" applyBorder="1" applyAlignment="1" applyProtection="1">
      <alignment horizontal="center" vertical="center"/>
    </xf>
    <xf numFmtId="0" fontId="1" fillId="0" borderId="0" xfId="4" applyAlignment="1">
      <alignment horizontal="center"/>
    </xf>
    <xf numFmtId="0" fontId="4" fillId="0" borderId="0" xfId="4" applyFont="1" applyAlignment="1">
      <alignment horizontal="center"/>
    </xf>
    <xf numFmtId="49" fontId="3" fillId="3" borderId="0" xfId="0" applyNumberFormat="1" applyFont="1" applyFill="1" applyAlignment="1">
      <alignment horizontal="center" vertical="center"/>
    </xf>
    <xf numFmtId="0" fontId="1" fillId="3" borderId="4" xfId="4" applyFill="1" applyBorder="1" applyAlignment="1">
      <alignment horizontal="center" vertical="center"/>
    </xf>
    <xf numFmtId="0" fontId="4" fillId="2" borderId="7" xfId="4" applyFont="1" applyFill="1" applyBorder="1" applyAlignment="1">
      <alignment horizontal="center" vertical="center"/>
    </xf>
    <xf numFmtId="0" fontId="4" fillId="2" borderId="11" xfId="4" applyFont="1" applyFill="1" applyBorder="1" applyAlignment="1">
      <alignment horizontal="center" vertical="center"/>
    </xf>
    <xf numFmtId="0" fontId="4" fillId="2" borderId="22" xfId="4" applyFont="1" applyFill="1" applyBorder="1" applyAlignment="1">
      <alignment horizontal="center" vertical="center"/>
    </xf>
    <xf numFmtId="0" fontId="4" fillId="2" borderId="1" xfId="4" applyFont="1" applyFill="1" applyBorder="1" applyAlignment="1">
      <alignment horizontal="center" vertical="center"/>
    </xf>
    <xf numFmtId="0" fontId="4" fillId="2" borderId="0" xfId="4" applyFont="1" applyFill="1" applyAlignment="1">
      <alignment horizontal="center" vertical="center"/>
    </xf>
    <xf numFmtId="0" fontId="4" fillId="2" borderId="10" xfId="4" applyFont="1" applyFill="1" applyBorder="1" applyAlignment="1">
      <alignment horizontal="center" vertical="center"/>
    </xf>
    <xf numFmtId="0" fontId="4" fillId="2" borderId="2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center" vertical="center"/>
    </xf>
    <xf numFmtId="0" fontId="3" fillId="3" borderId="0" xfId="4" applyFont="1" applyFill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21" fillId="3" borderId="0" xfId="2" applyFont="1" applyFill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0" fontId="4" fillId="2" borderId="11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  <xf numFmtId="0" fontId="4" fillId="2" borderId="9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19" fillId="0" borderId="0" xfId="2" applyFont="1" applyAlignment="1">
      <alignment horizontal="center"/>
    </xf>
    <xf numFmtId="0" fontId="20" fillId="0" borderId="0" xfId="2" applyFont="1" applyAlignment="1">
      <alignment horizontal="center"/>
    </xf>
    <xf numFmtId="0" fontId="21" fillId="0" borderId="0" xfId="2" applyFont="1" applyAlignment="1">
      <alignment horizontal="center"/>
    </xf>
    <xf numFmtId="0" fontId="22" fillId="0" borderId="0" xfId="2" applyFont="1" applyAlignment="1">
      <alignment horizontal="center"/>
    </xf>
    <xf numFmtId="0" fontId="31" fillId="2" borderId="12" xfId="5" applyFont="1" applyFill="1" applyBorder="1" applyAlignment="1" applyProtection="1">
      <alignment horizontal="center" vertical="center"/>
    </xf>
    <xf numFmtId="0" fontId="31" fillId="2" borderId="15" xfId="5" applyFont="1" applyFill="1" applyBorder="1" applyAlignment="1" applyProtection="1">
      <alignment horizontal="center" vertical="center"/>
    </xf>
    <xf numFmtId="0" fontId="31" fillId="2" borderId="16" xfId="5" applyFont="1" applyFill="1" applyBorder="1" applyAlignment="1" applyProtection="1">
      <alignment horizontal="center" vertical="center"/>
    </xf>
    <xf numFmtId="0" fontId="7" fillId="0" borderId="15" xfId="4" applyFont="1" applyBorder="1" applyAlignment="1">
      <alignment horizontal="center" vertical="center"/>
    </xf>
    <xf numFmtId="0" fontId="6" fillId="3" borderId="0" xfId="3" applyFont="1" applyFill="1" applyAlignment="1">
      <alignment horizontal="center"/>
    </xf>
    <xf numFmtId="0" fontId="6" fillId="0" borderId="5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4" fillId="3" borderId="0" xfId="0" applyFont="1" applyFill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11" fillId="2" borderId="7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</cellXfs>
  <cellStyles count="6">
    <cellStyle name="Comma [0]" xfId="1" builtinId="6"/>
    <cellStyle name="Hyperlink" xfId="5" builtinId="8"/>
    <cellStyle name="Normal" xfId="0" builtinId="0"/>
    <cellStyle name="Normal 2" xfId="2" xr:uid="{00000000-0005-0000-0000-000003000000}"/>
    <cellStyle name="Normal 3" xfId="4" xr:uid="{00000000-0005-0000-0000-000004000000}"/>
    <cellStyle name="Normal_CSI Calculation-up grading instruktur" xfId="3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3"/>
    </mc:Choice>
    <mc:Fallback>
      <c:style val="33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id-ID" sz="1400" i="0" u="sng"/>
              <a:t>HISTOGRAM</a:t>
            </a:r>
            <a:r>
              <a:rPr lang="en-US" sz="1400" i="0" u="sng" baseline="0"/>
              <a:t> (NAMA PELATIHAN)</a:t>
            </a:r>
          </a:p>
        </c:rich>
      </c:tx>
      <c:layout>
        <c:manualLayout>
          <c:xMode val="edge"/>
          <c:yMode val="edge"/>
          <c:x val="0.30158966260085202"/>
          <c:y val="0.04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Histogram!$B$12:$B$15</c:f>
              <c:strCache>
                <c:ptCount val="4"/>
                <c:pt idx="0">
                  <c:v>MATERI PELATIHAN</c:v>
                </c:pt>
                <c:pt idx="1">
                  <c:v>PROGRAM PELATIHAN</c:v>
                </c:pt>
                <c:pt idx="2">
                  <c:v>INSTRUKTUR</c:v>
                </c:pt>
                <c:pt idx="3">
                  <c:v>PENYELENGGARAAN PELATIHAN</c:v>
                </c:pt>
              </c:strCache>
            </c:strRef>
          </c:cat>
          <c:val>
            <c:numRef>
              <c:f>Histogram!$C$12:$C$15</c:f>
              <c:numCache>
                <c:formatCode>0.0</c:formatCode>
                <c:ptCount val="4"/>
                <c:pt idx="0">
                  <c:v>4.395833333333333</c:v>
                </c:pt>
                <c:pt idx="1">
                  <c:v>4.5833333333333339</c:v>
                </c:pt>
                <c:pt idx="2">
                  <c:v>4.916666666666667</c:v>
                </c:pt>
                <c:pt idx="3">
                  <c:v>4.4833333333333325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F5-47EA-9896-56E6C4746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160384"/>
        <c:axId val="138264960"/>
      </c:barChart>
      <c:catAx>
        <c:axId val="138160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/>
                </a:pPr>
                <a:r>
                  <a:rPr lang="id-ID" sz="1100">
                    <a:latin typeface="Arial" pitchFamily="34" charset="0"/>
                    <a:cs typeface="Arial" pitchFamily="34" charset="0"/>
                  </a:rPr>
                  <a:t>ASPEK PENILAIAN</a:t>
                </a:r>
              </a:p>
            </c:rich>
          </c:tx>
          <c:layout>
            <c:manualLayout>
              <c:xMode val="edge"/>
              <c:yMode val="edge"/>
              <c:x val="0.4162298399568769"/>
              <c:y val="0.8815555555555555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38264960"/>
        <c:crosses val="autoZero"/>
        <c:auto val="1"/>
        <c:lblAlgn val="ctr"/>
        <c:lblOffset val="100"/>
        <c:noMultiLvlLbl val="0"/>
      </c:catAx>
      <c:valAx>
        <c:axId val="1382649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/>
                </a:pPr>
                <a:r>
                  <a:rPr lang="id-ID" sz="1100">
                    <a:latin typeface="Arial" pitchFamily="34" charset="0"/>
                    <a:cs typeface="Arial" pitchFamily="34" charset="0"/>
                  </a:rPr>
                  <a:t>NILAI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381603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180975</xdr:rowOff>
    </xdr:from>
    <xdr:to>
      <xdr:col>1</xdr:col>
      <xdr:colOff>19050</xdr:colOff>
      <xdr:row>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9946" b="20000"/>
        <a:stretch>
          <a:fillRect/>
        </a:stretch>
      </xdr:blipFill>
      <xdr:spPr bwMode="auto">
        <a:xfrm>
          <a:off x="361950" y="180975"/>
          <a:ext cx="19050" cy="47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74083</xdr:rowOff>
    </xdr:from>
    <xdr:to>
      <xdr:col>28</xdr:col>
      <xdr:colOff>952500</xdr:colOff>
      <xdr:row>4</xdr:row>
      <xdr:rowOff>95250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0" y="963083"/>
          <a:ext cx="11101917" cy="21167"/>
        </a:xfrm>
        <a:prstGeom prst="line">
          <a:avLst/>
        </a:prstGeom>
        <a:ln w="44450" cmpd="dbl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1635069</xdr:colOff>
      <xdr:row>0</xdr:row>
      <xdr:rowOff>71266</xdr:rowOff>
    </xdr:from>
    <xdr:to>
      <xdr:col>1</xdr:col>
      <xdr:colOff>2565308</xdr:colOff>
      <xdr:row>3</xdr:row>
      <xdr:rowOff>153962</xdr:rowOff>
    </xdr:to>
    <xdr:pic>
      <xdr:nvPicPr>
        <xdr:cNvPr id="4" name="Picture 3" descr="11949330_456359244548551_4689610791452084778_n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94902" y="71266"/>
          <a:ext cx="930239" cy="8129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17</xdr:row>
      <xdr:rowOff>142875</xdr:rowOff>
    </xdr:from>
    <xdr:to>
      <xdr:col>3</xdr:col>
      <xdr:colOff>1171575</xdr:colOff>
      <xdr:row>29</xdr:row>
      <xdr:rowOff>133350</xdr:rowOff>
    </xdr:to>
    <xdr:graphicFrame macro="">
      <xdr:nvGraphicFramePr>
        <xdr:cNvPr id="334052" name="Chart 5">
          <a:extLst>
            <a:ext uri="{FF2B5EF4-FFF2-40B4-BE49-F238E27FC236}">
              <a16:creationId xmlns:a16="http://schemas.microsoft.com/office/drawing/2014/main" id="{00000000-0008-0000-0100-0000E4180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1143000</xdr:colOff>
      <xdr:row>0</xdr:row>
      <xdr:rowOff>180975</xdr:rowOff>
    </xdr:from>
    <xdr:to>
      <xdr:col>1</xdr:col>
      <xdr:colOff>1143000</xdr:colOff>
      <xdr:row>1</xdr:row>
      <xdr:rowOff>85725</xdr:rowOff>
    </xdr:to>
    <xdr:pic>
      <xdr:nvPicPr>
        <xdr:cNvPr id="334053" name="Picture 3">
          <a:extLst>
            <a:ext uri="{FF2B5EF4-FFF2-40B4-BE49-F238E27FC236}">
              <a16:creationId xmlns:a16="http://schemas.microsoft.com/office/drawing/2014/main" id="{00000000-0008-0000-0100-0000E518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r="9946" b="20000"/>
        <a:stretch>
          <a:fillRect/>
        </a:stretch>
      </xdr:blipFill>
      <xdr:spPr bwMode="auto">
        <a:xfrm>
          <a:off x="1533525" y="18097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266700</xdr:colOff>
      <xdr:row>3</xdr:row>
      <xdr:rowOff>180975</xdr:rowOff>
    </xdr:from>
    <xdr:to>
      <xdr:col>3</xdr:col>
      <xdr:colOff>1085850</xdr:colOff>
      <xdr:row>3</xdr:row>
      <xdr:rowOff>180976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266700" y="809625"/>
          <a:ext cx="5543550" cy="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463550</xdr:colOff>
      <xdr:row>0</xdr:row>
      <xdr:rowOff>60325</xdr:rowOff>
    </xdr:from>
    <xdr:to>
      <xdr:col>1</xdr:col>
      <xdr:colOff>1209675</xdr:colOff>
      <xdr:row>3</xdr:row>
      <xdr:rowOff>157957</xdr:rowOff>
    </xdr:to>
    <xdr:pic>
      <xdr:nvPicPr>
        <xdr:cNvPr id="7" name="Picture 6" descr="11949330_456359244548551_4689610791452084778_n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54075" y="60325"/>
          <a:ext cx="746125" cy="7262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180975</xdr:rowOff>
    </xdr:from>
    <xdr:to>
      <xdr:col>1</xdr:col>
      <xdr:colOff>19050</xdr:colOff>
      <xdr:row>0</xdr:row>
      <xdr:rowOff>228600</xdr:rowOff>
    </xdr:to>
    <xdr:pic>
      <xdr:nvPicPr>
        <xdr:cNvPr id="256492" name="Picture 2">
          <a:extLst>
            <a:ext uri="{FF2B5EF4-FFF2-40B4-BE49-F238E27FC236}">
              <a16:creationId xmlns:a16="http://schemas.microsoft.com/office/drawing/2014/main" id="{00000000-0008-0000-0600-0000ECE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9946" b="20000"/>
        <a:stretch>
          <a:fillRect/>
        </a:stretch>
      </xdr:blipFill>
      <xdr:spPr bwMode="auto">
        <a:xfrm>
          <a:off x="1504950" y="180975"/>
          <a:ext cx="0" cy="47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1631674</xdr:colOff>
      <xdr:row>4</xdr:row>
      <xdr:rowOff>71783</xdr:rowOff>
    </xdr:from>
    <xdr:to>
      <xdr:col>18</xdr:col>
      <xdr:colOff>8283</xdr:colOff>
      <xdr:row>4</xdr:row>
      <xdr:rowOff>80066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2012674" y="955261"/>
          <a:ext cx="7824305" cy="8283"/>
        </a:xfrm>
        <a:prstGeom prst="line">
          <a:avLst/>
        </a:prstGeom>
        <a:ln w="44450" cmpd="dbl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1645652</xdr:colOff>
      <xdr:row>0</xdr:row>
      <xdr:rowOff>78164</xdr:rowOff>
    </xdr:from>
    <xdr:to>
      <xdr:col>1</xdr:col>
      <xdr:colOff>2559325</xdr:colOff>
      <xdr:row>3</xdr:row>
      <xdr:rowOff>153334</xdr:rowOff>
    </xdr:to>
    <xdr:pic>
      <xdr:nvPicPr>
        <xdr:cNvPr id="6" name="Picture 5" descr="11949330_456359244548551_4689610791452084778_n.png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10087" y="78164"/>
          <a:ext cx="913673" cy="795757"/>
        </a:xfrm>
        <a:prstGeom prst="rect">
          <a:avLst/>
        </a:prstGeom>
      </xdr:spPr>
    </xdr:pic>
    <xdr:clientData/>
  </xdr:twoCellAnchor>
  <xdr:twoCellAnchor>
    <xdr:from>
      <xdr:col>0</xdr:col>
      <xdr:colOff>331300</xdr:colOff>
      <xdr:row>19</xdr:row>
      <xdr:rowOff>82821</xdr:rowOff>
    </xdr:from>
    <xdr:to>
      <xdr:col>1</xdr:col>
      <xdr:colOff>1648235</xdr:colOff>
      <xdr:row>25</xdr:row>
      <xdr:rowOff>16560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331300" y="4058473"/>
          <a:ext cx="1681370" cy="9276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/>
          <a:r>
            <a:rPr lang="id-ID" sz="900"/>
            <a:t>Keteranga</a:t>
          </a:r>
          <a:r>
            <a:rPr lang="id-ID" sz="900" baseline="0"/>
            <a:t>  :</a:t>
          </a:r>
        </a:p>
        <a:p>
          <a:pPr marL="0" algn="l"/>
          <a:r>
            <a:rPr lang="id-ID" sz="900"/>
            <a:t>5,0</a:t>
          </a:r>
          <a:r>
            <a:rPr lang="id-ID" sz="900" baseline="0"/>
            <a:t>               =  SANGAT BAIK</a:t>
          </a:r>
        </a:p>
        <a:p>
          <a:pPr marL="0" algn="l"/>
          <a:r>
            <a:rPr lang="id-ID" sz="900" baseline="0"/>
            <a:t>4,0 - 4,9      =  BAIK</a:t>
          </a:r>
        </a:p>
        <a:p>
          <a:pPr marL="0" algn="l"/>
          <a:r>
            <a:rPr lang="id-ID" sz="900" baseline="0"/>
            <a:t>3,0 - 3,9      =  CUKUP/SEDANG</a:t>
          </a:r>
        </a:p>
        <a:p>
          <a:pPr marL="0" algn="l"/>
          <a:r>
            <a:rPr lang="id-ID" sz="900" baseline="0"/>
            <a:t>2,0 - 2,9      =  KURANG BAIK</a:t>
          </a:r>
        </a:p>
        <a:p>
          <a:pPr marL="0" algn="l"/>
          <a:r>
            <a:rPr lang="id-ID" sz="900" baseline="0"/>
            <a:t>1,0 - 1,9      =  TIDAK BAIK</a:t>
          </a:r>
          <a:endParaRPr lang="en-US" sz="9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1143000</xdr:colOff>
      <xdr:row>0</xdr:row>
      <xdr:rowOff>180975</xdr:rowOff>
    </xdr:from>
    <xdr:to>
      <xdr:col>1</xdr:col>
      <xdr:colOff>1143000</xdr:colOff>
      <xdr:row>1</xdr:row>
      <xdr:rowOff>47625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9946" b="20000"/>
        <a:stretch>
          <a:fillRect/>
        </a:stretch>
      </xdr:blipFill>
      <xdr:spPr bwMode="auto">
        <a:xfrm>
          <a:off x="1516380" y="180975"/>
          <a:ext cx="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1752600</xdr:colOff>
      <xdr:row>0</xdr:row>
      <xdr:rowOff>0</xdr:rowOff>
    </xdr:from>
    <xdr:to>
      <xdr:col>1</xdr:col>
      <xdr:colOff>1752600</xdr:colOff>
      <xdr:row>3</xdr:row>
      <xdr:rowOff>38100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9946" b="20000"/>
        <a:stretch>
          <a:fillRect/>
        </a:stretch>
      </xdr:blipFill>
      <xdr:spPr bwMode="auto">
        <a:xfrm>
          <a:off x="2125980" y="0"/>
          <a:ext cx="0" cy="7410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1829665</xdr:colOff>
      <xdr:row>4</xdr:row>
      <xdr:rowOff>98169</xdr:rowOff>
    </xdr:from>
    <xdr:to>
      <xdr:col>16</xdr:col>
      <xdr:colOff>74641</xdr:colOff>
      <xdr:row>4</xdr:row>
      <xdr:rowOff>103910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 flipV="1">
          <a:off x="2191615" y="1003044"/>
          <a:ext cx="6531726" cy="574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2219325</xdr:colOff>
      <xdr:row>0</xdr:row>
      <xdr:rowOff>47625</xdr:rowOff>
    </xdr:from>
    <xdr:to>
      <xdr:col>1</xdr:col>
      <xdr:colOff>2219325</xdr:colOff>
      <xdr:row>3</xdr:row>
      <xdr:rowOff>59532</xdr:rowOff>
    </xdr:to>
    <xdr:pic>
      <xdr:nvPicPr>
        <xdr:cNvPr id="5" name="Picture 4" descr="11949330_456359244548551_4689610791452084778_n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592705" y="47625"/>
          <a:ext cx="0" cy="714852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1143000</xdr:colOff>
      <xdr:row>0</xdr:row>
      <xdr:rowOff>180975</xdr:rowOff>
    </xdr:from>
    <xdr:to>
      <xdr:col>1</xdr:col>
      <xdr:colOff>1143000</xdr:colOff>
      <xdr:row>0</xdr:row>
      <xdr:rowOff>180975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9946" b="20000"/>
        <a:stretch>
          <a:fillRect/>
        </a:stretch>
      </xdr:blipFill>
      <xdr:spPr bwMode="auto">
        <a:xfrm>
          <a:off x="1516380" y="18097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2233616</xdr:colOff>
      <xdr:row>0</xdr:row>
      <xdr:rowOff>59533</xdr:rowOff>
    </xdr:from>
    <xdr:to>
      <xdr:col>1</xdr:col>
      <xdr:colOff>2238375</xdr:colOff>
      <xdr:row>3</xdr:row>
      <xdr:rowOff>397</xdr:rowOff>
    </xdr:to>
    <xdr:pic>
      <xdr:nvPicPr>
        <xdr:cNvPr id="7" name="Picture 6" descr="11949330_456359244548551_4689610791452084778_n.pn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flipH="1">
          <a:off x="2606996" y="59533"/>
          <a:ext cx="4759" cy="643809"/>
        </a:xfrm>
        <a:prstGeom prst="rect">
          <a:avLst/>
        </a:prstGeom>
      </xdr:spPr>
    </xdr:pic>
    <xdr:clientData/>
  </xdr:twoCellAnchor>
  <xdr:twoCellAnchor editAs="oneCell">
    <xdr:from>
      <xdr:col>1</xdr:col>
      <xdr:colOff>2238375</xdr:colOff>
      <xdr:row>0</xdr:row>
      <xdr:rowOff>0</xdr:rowOff>
    </xdr:from>
    <xdr:to>
      <xdr:col>1</xdr:col>
      <xdr:colOff>2238376</xdr:colOff>
      <xdr:row>3</xdr:row>
      <xdr:rowOff>11907</xdr:rowOff>
    </xdr:to>
    <xdr:pic>
      <xdr:nvPicPr>
        <xdr:cNvPr id="8" name="Picture 7" descr="11949330_456359244548551_4689610791452084778_n.png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11755" y="0"/>
          <a:ext cx="1" cy="714852"/>
        </a:xfrm>
        <a:prstGeom prst="rect">
          <a:avLst/>
        </a:prstGeom>
      </xdr:spPr>
    </xdr:pic>
    <xdr:clientData/>
  </xdr:twoCellAnchor>
  <xdr:twoCellAnchor editAs="oneCell">
    <xdr:from>
      <xdr:col>1</xdr:col>
      <xdr:colOff>1438275</xdr:colOff>
      <xdr:row>0</xdr:row>
      <xdr:rowOff>19050</xdr:rowOff>
    </xdr:from>
    <xdr:to>
      <xdr:col>1</xdr:col>
      <xdr:colOff>2409825</xdr:colOff>
      <xdr:row>3</xdr:row>
      <xdr:rowOff>171449</xdr:rowOff>
    </xdr:to>
    <xdr:pic>
      <xdr:nvPicPr>
        <xdr:cNvPr id="9" name="Picture 8" descr="11949330_456359244548551_4689610791452084778_n.png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00225" y="19050"/>
          <a:ext cx="971550" cy="8667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1143000</xdr:colOff>
      <xdr:row>0</xdr:row>
      <xdr:rowOff>180975</xdr:rowOff>
    </xdr:from>
    <xdr:to>
      <xdr:col>1</xdr:col>
      <xdr:colOff>1143000</xdr:colOff>
      <xdr:row>0</xdr:row>
      <xdr:rowOff>180975</xdr:rowOff>
    </xdr:to>
    <xdr:pic>
      <xdr:nvPicPr>
        <xdr:cNvPr id="220672" name="Picture 2">
          <a:extLst>
            <a:ext uri="{FF2B5EF4-FFF2-40B4-BE49-F238E27FC236}">
              <a16:creationId xmlns:a16="http://schemas.microsoft.com/office/drawing/2014/main" id="{00000000-0008-0000-0300-0000005E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9946" b="20000"/>
        <a:stretch>
          <a:fillRect/>
        </a:stretch>
      </xdr:blipFill>
      <xdr:spPr bwMode="auto">
        <a:xfrm>
          <a:off x="1504950" y="18097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2070653</xdr:colOff>
      <xdr:row>0</xdr:row>
      <xdr:rowOff>59533</xdr:rowOff>
    </xdr:from>
    <xdr:to>
      <xdr:col>1</xdr:col>
      <xdr:colOff>2917031</xdr:colOff>
      <xdr:row>4</xdr:row>
      <xdr:rowOff>2633</xdr:rowOff>
    </xdr:to>
    <xdr:pic>
      <xdr:nvPicPr>
        <xdr:cNvPr id="6" name="Picture 5" descr="11949330_456359244548551_4689610791452084778_n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35088" y="59533"/>
          <a:ext cx="846378" cy="809047"/>
        </a:xfrm>
        <a:prstGeom prst="rect">
          <a:avLst/>
        </a:prstGeom>
      </xdr:spPr>
    </xdr:pic>
    <xdr:clientData/>
  </xdr:twoCellAnchor>
  <xdr:twoCellAnchor>
    <xdr:from>
      <xdr:col>1</xdr:col>
      <xdr:colOff>1927436</xdr:colOff>
      <xdr:row>4</xdr:row>
      <xdr:rowOff>78424</xdr:rowOff>
    </xdr:from>
    <xdr:to>
      <xdr:col>14</xdr:col>
      <xdr:colOff>79969</xdr:colOff>
      <xdr:row>4</xdr:row>
      <xdr:rowOff>78426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 flipV="1">
          <a:off x="2286024" y="941277"/>
          <a:ext cx="6075092" cy="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1143000</xdr:colOff>
      <xdr:row>0</xdr:row>
      <xdr:rowOff>180975</xdr:rowOff>
    </xdr:from>
    <xdr:to>
      <xdr:col>1</xdr:col>
      <xdr:colOff>1143000</xdr:colOff>
      <xdr:row>1</xdr:row>
      <xdr:rowOff>47625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9946" b="20000"/>
        <a:stretch>
          <a:fillRect/>
        </a:stretch>
      </xdr:blipFill>
      <xdr:spPr bwMode="auto">
        <a:xfrm>
          <a:off x="1504950" y="180975"/>
          <a:ext cx="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1752600</xdr:colOff>
      <xdr:row>0</xdr:row>
      <xdr:rowOff>0</xdr:rowOff>
    </xdr:from>
    <xdr:to>
      <xdr:col>1</xdr:col>
      <xdr:colOff>1752600</xdr:colOff>
      <xdr:row>3</xdr:row>
      <xdr:rowOff>47625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9946" b="20000"/>
        <a:stretch>
          <a:fillRect/>
        </a:stretch>
      </xdr:blipFill>
      <xdr:spPr bwMode="auto">
        <a:xfrm>
          <a:off x="2114550" y="0"/>
          <a:ext cx="0" cy="752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1801090</xdr:colOff>
      <xdr:row>4</xdr:row>
      <xdr:rowOff>2919</xdr:rowOff>
    </xdr:from>
    <xdr:to>
      <xdr:col>16</xdr:col>
      <xdr:colOff>46066</xdr:colOff>
      <xdr:row>4</xdr:row>
      <xdr:rowOff>8660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 flipV="1">
          <a:off x="2163040" y="898269"/>
          <a:ext cx="6531726" cy="574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2219325</xdr:colOff>
      <xdr:row>0</xdr:row>
      <xdr:rowOff>47625</xdr:rowOff>
    </xdr:from>
    <xdr:to>
      <xdr:col>1</xdr:col>
      <xdr:colOff>2219325</xdr:colOff>
      <xdr:row>3</xdr:row>
      <xdr:rowOff>69057</xdr:rowOff>
    </xdr:to>
    <xdr:pic>
      <xdr:nvPicPr>
        <xdr:cNvPr id="5" name="Picture 4" descr="11949330_456359244548551_4689610791452084778_n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581275" y="47625"/>
          <a:ext cx="0" cy="726282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1143000</xdr:colOff>
      <xdr:row>0</xdr:row>
      <xdr:rowOff>180975</xdr:rowOff>
    </xdr:from>
    <xdr:to>
      <xdr:col>1</xdr:col>
      <xdr:colOff>1143000</xdr:colOff>
      <xdr:row>0</xdr:row>
      <xdr:rowOff>180975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9946" b="20000"/>
        <a:stretch>
          <a:fillRect/>
        </a:stretch>
      </xdr:blipFill>
      <xdr:spPr bwMode="auto">
        <a:xfrm>
          <a:off x="1504950" y="18097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2233616</xdr:colOff>
      <xdr:row>0</xdr:row>
      <xdr:rowOff>59533</xdr:rowOff>
    </xdr:from>
    <xdr:to>
      <xdr:col>1</xdr:col>
      <xdr:colOff>2238375</xdr:colOff>
      <xdr:row>3</xdr:row>
      <xdr:rowOff>9922</xdr:rowOff>
    </xdr:to>
    <xdr:pic>
      <xdr:nvPicPr>
        <xdr:cNvPr id="7" name="Picture 6" descr="11949330_456359244548551_4689610791452084778_n.pn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flipH="1">
          <a:off x="2595566" y="59533"/>
          <a:ext cx="4759" cy="655239"/>
        </a:xfrm>
        <a:prstGeom prst="rect">
          <a:avLst/>
        </a:prstGeom>
      </xdr:spPr>
    </xdr:pic>
    <xdr:clientData/>
  </xdr:twoCellAnchor>
  <xdr:twoCellAnchor editAs="oneCell">
    <xdr:from>
      <xdr:col>1</xdr:col>
      <xdr:colOff>2238375</xdr:colOff>
      <xdr:row>0</xdr:row>
      <xdr:rowOff>0</xdr:rowOff>
    </xdr:from>
    <xdr:to>
      <xdr:col>1</xdr:col>
      <xdr:colOff>2238376</xdr:colOff>
      <xdr:row>3</xdr:row>
      <xdr:rowOff>21432</xdr:rowOff>
    </xdr:to>
    <xdr:pic>
      <xdr:nvPicPr>
        <xdr:cNvPr id="8" name="Picture 7" descr="11949330_456359244548551_4689610791452084778_n.png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00325" y="0"/>
          <a:ext cx="1" cy="726282"/>
        </a:xfrm>
        <a:prstGeom prst="rect">
          <a:avLst/>
        </a:prstGeom>
      </xdr:spPr>
    </xdr:pic>
    <xdr:clientData/>
  </xdr:twoCellAnchor>
  <xdr:twoCellAnchor editAs="oneCell">
    <xdr:from>
      <xdr:col>1</xdr:col>
      <xdr:colOff>1943100</xdr:colOff>
      <xdr:row>0</xdr:row>
      <xdr:rowOff>19050</xdr:rowOff>
    </xdr:from>
    <xdr:to>
      <xdr:col>1</xdr:col>
      <xdr:colOff>2914650</xdr:colOff>
      <xdr:row>3</xdr:row>
      <xdr:rowOff>180974</xdr:rowOff>
    </xdr:to>
    <xdr:pic>
      <xdr:nvPicPr>
        <xdr:cNvPr id="9" name="Picture 8" descr="11949330_456359244548551_4689610791452084778_n.png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05050" y="19050"/>
          <a:ext cx="971550" cy="8667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200026</xdr:colOff>
      <xdr:row>0</xdr:row>
      <xdr:rowOff>38099</xdr:rowOff>
    </xdr:from>
    <xdr:to>
      <xdr:col>3</xdr:col>
      <xdr:colOff>590551</xdr:colOff>
      <xdr:row>4</xdr:row>
      <xdr:rowOff>10025</xdr:rowOff>
    </xdr:to>
    <xdr:pic>
      <xdr:nvPicPr>
        <xdr:cNvPr id="5" name="Picture 4" descr="11949330_456359244548551_4689610791452084778_n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1" y="38099"/>
          <a:ext cx="857250" cy="838701"/>
        </a:xfrm>
        <a:prstGeom prst="rect">
          <a:avLst/>
        </a:prstGeom>
      </xdr:spPr>
    </xdr:pic>
    <xdr:clientData/>
  </xdr:twoCellAnchor>
  <xdr:twoCellAnchor>
    <xdr:from>
      <xdr:col>0</xdr:col>
      <xdr:colOff>219075</xdr:colOff>
      <xdr:row>4</xdr:row>
      <xdr:rowOff>0</xdr:rowOff>
    </xdr:from>
    <xdr:to>
      <xdr:col>5</xdr:col>
      <xdr:colOff>1495425</xdr:colOff>
      <xdr:row>4</xdr:row>
      <xdr:rowOff>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219075" y="866775"/>
          <a:ext cx="5543550" cy="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E86"/>
  <sheetViews>
    <sheetView tabSelected="1" view="pageBreakPreview" topLeftCell="A21" zoomScale="85" zoomScaleNormal="90" zoomScaleSheetLayoutView="85" workbookViewId="0">
      <selection activeCell="C32" sqref="C32"/>
    </sheetView>
  </sheetViews>
  <sheetFormatPr defaultRowHeight="12.75" x14ac:dyDescent="0.2"/>
  <cols>
    <col min="1" max="1" width="5.42578125" style="1" customWidth="1"/>
    <col min="2" max="2" width="79.140625" customWidth="1"/>
    <col min="3" max="18" width="3.7109375" customWidth="1"/>
    <col min="19" max="19" width="9.140625" customWidth="1"/>
    <col min="20" max="27" width="4.5703125" hidden="1" customWidth="1"/>
    <col min="28" max="28" width="9.42578125" hidden="1" customWidth="1"/>
    <col min="29" max="29" width="14.42578125" customWidth="1"/>
    <col min="31" max="31" width="9.42578125" bestFit="1" customWidth="1"/>
  </cols>
  <sheetData>
    <row r="1" spans="1:31" s="88" customFormat="1" ht="18.75" x14ac:dyDescent="0.2">
      <c r="A1" s="252" t="s">
        <v>29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</row>
    <row r="2" spans="1:31" s="88" customFormat="1" ht="17.25" x14ac:dyDescent="0.2">
      <c r="A2" s="253" t="s">
        <v>30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</row>
    <row r="3" spans="1:31" s="88" customFormat="1" ht="21" x14ac:dyDescent="0.2">
      <c r="A3" s="254" t="s">
        <v>31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</row>
    <row r="4" spans="1:31" s="88" customFormat="1" x14ac:dyDescent="0.2">
      <c r="A4" s="255" t="s">
        <v>22</v>
      </c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  <c r="AA4" s="255"/>
      <c r="AB4" s="255"/>
      <c r="AC4" s="255"/>
    </row>
    <row r="5" spans="1:31" s="88" customFormat="1" x14ac:dyDescent="0.2">
      <c r="A5" s="87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90"/>
      <c r="T5" s="91"/>
      <c r="U5" s="91"/>
      <c r="V5" s="91"/>
      <c r="W5" s="91"/>
      <c r="X5" s="91"/>
      <c r="Y5" s="91"/>
      <c r="Z5" s="91"/>
      <c r="AA5" s="91"/>
      <c r="AB5" s="92"/>
      <c r="AC5" s="91"/>
    </row>
    <row r="6" spans="1:31" s="88" customFormat="1" ht="18" x14ac:dyDescent="0.2">
      <c r="A6" s="248" t="s">
        <v>62</v>
      </c>
      <c r="B6" s="248"/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</row>
    <row r="7" spans="1:31" s="88" customFormat="1" ht="18" x14ac:dyDescent="0.2">
      <c r="A7" s="248" t="s">
        <v>66</v>
      </c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</row>
    <row r="8" spans="1:31" s="88" customFormat="1" ht="18" customHeight="1" x14ac:dyDescent="0.2">
      <c r="A8" s="248" t="s">
        <v>67</v>
      </c>
      <c r="B8" s="248"/>
      <c r="C8" s="248"/>
      <c r="D8" s="248"/>
      <c r="E8" s="248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</row>
    <row r="9" spans="1:31" s="88" customFormat="1" ht="18" x14ac:dyDescent="0.25">
      <c r="A9" s="256" t="s">
        <v>68</v>
      </c>
      <c r="B9" s="256"/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  <c r="AB9" s="256"/>
      <c r="AC9" s="256"/>
    </row>
    <row r="10" spans="1:31" s="88" customFormat="1" ht="21.75" customHeight="1" thickBot="1" x14ac:dyDescent="0.25">
      <c r="A10" s="120"/>
      <c r="B10" s="120"/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50"/>
      <c r="N10" s="251"/>
      <c r="O10" s="251"/>
      <c r="P10" s="251"/>
      <c r="Q10" s="251"/>
      <c r="R10" s="251"/>
      <c r="S10" s="251"/>
      <c r="T10" s="251"/>
      <c r="U10" s="251"/>
      <c r="V10" s="251"/>
      <c r="W10" s="251"/>
      <c r="X10" s="251"/>
      <c r="Y10" s="251"/>
      <c r="Z10" s="251"/>
      <c r="AA10" s="251"/>
      <c r="AB10" s="251"/>
      <c r="AC10" s="251"/>
    </row>
    <row r="11" spans="1:31" ht="15.75" thickBot="1" x14ac:dyDescent="0.25">
      <c r="A11" s="242" t="s">
        <v>1</v>
      </c>
      <c r="B11" s="242" t="s">
        <v>2</v>
      </c>
      <c r="C11" s="223" t="s">
        <v>23</v>
      </c>
      <c r="D11" s="224"/>
      <c r="E11" s="224"/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123"/>
      <c r="U11" s="123"/>
      <c r="V11" s="123"/>
      <c r="W11" s="123"/>
      <c r="X11" s="123"/>
      <c r="Y11" s="123"/>
      <c r="Z11" s="123"/>
      <c r="AA11" s="123"/>
      <c r="AB11" s="124"/>
      <c r="AC11" s="232" t="s">
        <v>28</v>
      </c>
    </row>
    <row r="12" spans="1:31" ht="15.75" thickBot="1" x14ac:dyDescent="0.25">
      <c r="A12" s="242"/>
      <c r="B12" s="242"/>
      <c r="C12" s="225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125"/>
      <c r="U12" s="125"/>
      <c r="V12" s="125"/>
      <c r="W12" s="125"/>
      <c r="X12" s="125"/>
      <c r="Y12" s="125"/>
      <c r="Z12" s="125"/>
      <c r="AA12" s="125"/>
      <c r="AB12" s="126"/>
      <c r="AC12" s="233"/>
    </row>
    <row r="13" spans="1:31" ht="16.5" thickTop="1" thickBot="1" x14ac:dyDescent="0.25">
      <c r="A13" s="242"/>
      <c r="B13" s="242"/>
      <c r="C13" s="127">
        <v>1</v>
      </c>
      <c r="D13" s="127">
        <v>2</v>
      </c>
      <c r="E13" s="127">
        <v>3</v>
      </c>
      <c r="F13" s="127">
        <v>4</v>
      </c>
      <c r="G13" s="127">
        <v>5</v>
      </c>
      <c r="H13" s="127">
        <v>6</v>
      </c>
      <c r="I13" s="127">
        <v>7</v>
      </c>
      <c r="J13" s="127">
        <v>8</v>
      </c>
      <c r="K13" s="127">
        <v>9</v>
      </c>
      <c r="L13" s="127">
        <v>10</v>
      </c>
      <c r="M13" s="127">
        <v>11</v>
      </c>
      <c r="N13" s="127">
        <v>12</v>
      </c>
      <c r="O13" s="127">
        <v>13</v>
      </c>
      <c r="P13" s="127">
        <v>14</v>
      </c>
      <c r="Q13" s="127">
        <v>15</v>
      </c>
      <c r="R13" s="127">
        <v>16</v>
      </c>
      <c r="S13" s="127" t="s">
        <v>4</v>
      </c>
      <c r="T13" s="128">
        <v>22</v>
      </c>
      <c r="U13" s="129">
        <v>23</v>
      </c>
      <c r="V13" s="129">
        <v>24</v>
      </c>
      <c r="W13" s="129">
        <v>25</v>
      </c>
      <c r="X13" s="129">
        <v>26</v>
      </c>
      <c r="Y13" s="129">
        <v>27</v>
      </c>
      <c r="Z13" s="129">
        <v>28</v>
      </c>
      <c r="AA13" s="129">
        <v>29</v>
      </c>
      <c r="AB13" s="130" t="s">
        <v>5</v>
      </c>
      <c r="AC13" s="234"/>
    </row>
    <row r="14" spans="1:31" s="88" customFormat="1" ht="18" customHeight="1" thickBot="1" x14ac:dyDescent="0.3">
      <c r="A14" s="131" t="s">
        <v>11</v>
      </c>
      <c r="B14" s="193" t="s">
        <v>12</v>
      </c>
      <c r="C14" s="247"/>
      <c r="D14" s="247"/>
      <c r="E14" s="247"/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132"/>
      <c r="U14" s="132"/>
      <c r="V14" s="132"/>
      <c r="W14" s="132"/>
      <c r="X14" s="132"/>
      <c r="Y14" s="132"/>
      <c r="Z14" s="132"/>
      <c r="AA14" s="132"/>
      <c r="AB14" s="133"/>
      <c r="AC14" s="134"/>
      <c r="AE14" s="113"/>
    </row>
    <row r="15" spans="1:31" s="88" customFormat="1" ht="27" customHeight="1" thickBot="1" x14ac:dyDescent="0.25">
      <c r="A15" s="135">
        <v>1</v>
      </c>
      <c r="B15" s="194" t="s">
        <v>35</v>
      </c>
      <c r="C15" s="217">
        <v>5</v>
      </c>
      <c r="D15" s="217">
        <v>5</v>
      </c>
      <c r="E15" s="217">
        <v>5</v>
      </c>
      <c r="F15" s="217">
        <v>5</v>
      </c>
      <c r="G15" s="217">
        <v>4</v>
      </c>
      <c r="H15" s="217">
        <v>4</v>
      </c>
      <c r="I15" s="217">
        <v>4</v>
      </c>
      <c r="J15" s="217">
        <v>4</v>
      </c>
      <c r="K15" s="217">
        <v>5</v>
      </c>
      <c r="L15" s="217">
        <v>5</v>
      </c>
      <c r="M15" s="217">
        <v>3</v>
      </c>
      <c r="N15" s="217">
        <v>4</v>
      </c>
      <c r="O15" s="217"/>
      <c r="P15" s="212"/>
      <c r="Q15" s="211"/>
      <c r="R15" s="212"/>
      <c r="S15" s="207">
        <f>SUM(C15:R15)/12</f>
        <v>4.416666666666667</v>
      </c>
      <c r="T15" s="206"/>
      <c r="U15" s="206"/>
      <c r="V15" s="206"/>
      <c r="W15" s="206"/>
      <c r="X15" s="206"/>
      <c r="Y15" s="206"/>
      <c r="Z15" s="206"/>
      <c r="AA15" s="206"/>
      <c r="AB15" s="208">
        <f>SUM(M15:AA15)</f>
        <v>11.416666666666668</v>
      </c>
      <c r="AC15" s="213" t="str">
        <f t="shared" ref="AC15:AC18" si="0">IF(S15&gt;=5,"SANGAT BAIK",IF(S15&gt;=4,"BAIK",IF(S15&gt;=3,"CUKUP",IF(S15&gt;=2,"KURANG",IF(S15&gt;=0,"TIDAK BAIK")))))</f>
        <v>BAIK</v>
      </c>
      <c r="AE15" s="113"/>
    </row>
    <row r="16" spans="1:31" s="88" customFormat="1" ht="26.25" customHeight="1" thickBot="1" x14ac:dyDescent="0.25">
      <c r="A16" s="135">
        <v>2</v>
      </c>
      <c r="B16" s="194" t="s">
        <v>36</v>
      </c>
      <c r="C16" s="217">
        <v>3</v>
      </c>
      <c r="D16" s="217">
        <v>5</v>
      </c>
      <c r="E16" s="217">
        <v>5</v>
      </c>
      <c r="F16" s="217">
        <v>5</v>
      </c>
      <c r="G16" s="217">
        <v>4</v>
      </c>
      <c r="H16" s="217">
        <v>5</v>
      </c>
      <c r="I16" s="217">
        <v>4</v>
      </c>
      <c r="J16" s="217">
        <v>4</v>
      </c>
      <c r="K16" s="217">
        <v>2</v>
      </c>
      <c r="L16" s="217">
        <v>5</v>
      </c>
      <c r="M16" s="217">
        <v>4</v>
      </c>
      <c r="N16" s="217">
        <v>4</v>
      </c>
      <c r="O16" s="217"/>
      <c r="P16" s="212"/>
      <c r="Q16" s="211"/>
      <c r="R16" s="212"/>
      <c r="S16" s="207">
        <f t="shared" ref="S16:S18" si="1">SUM(C16:R16)/12</f>
        <v>4.166666666666667</v>
      </c>
      <c r="T16" s="135"/>
      <c r="U16" s="135"/>
      <c r="V16" s="135"/>
      <c r="W16" s="135"/>
      <c r="X16" s="135"/>
      <c r="Y16" s="135"/>
      <c r="Z16" s="135"/>
      <c r="AA16" s="135"/>
      <c r="AB16" s="136">
        <f>SUM(M16:AA16)</f>
        <v>12.166666666666668</v>
      </c>
      <c r="AC16" s="213" t="str">
        <f t="shared" si="0"/>
        <v>BAIK</v>
      </c>
      <c r="AE16" s="113"/>
    </row>
    <row r="17" spans="1:31" s="88" customFormat="1" ht="31.5" customHeight="1" thickBot="1" x14ac:dyDescent="0.25">
      <c r="A17" s="135">
        <v>3</v>
      </c>
      <c r="B17" s="195" t="s">
        <v>37</v>
      </c>
      <c r="C17" s="217">
        <v>3</v>
      </c>
      <c r="D17" s="217">
        <v>5</v>
      </c>
      <c r="E17" s="217">
        <v>5</v>
      </c>
      <c r="F17" s="217">
        <v>5</v>
      </c>
      <c r="G17" s="217">
        <v>5</v>
      </c>
      <c r="H17" s="217">
        <v>4</v>
      </c>
      <c r="I17" s="217">
        <v>4</v>
      </c>
      <c r="J17" s="217">
        <v>4</v>
      </c>
      <c r="K17" s="217">
        <v>4</v>
      </c>
      <c r="L17" s="217">
        <v>5</v>
      </c>
      <c r="M17" s="217">
        <v>5</v>
      </c>
      <c r="N17" s="217">
        <v>4</v>
      </c>
      <c r="O17" s="217"/>
      <c r="P17" s="212"/>
      <c r="Q17" s="211"/>
      <c r="R17" s="212"/>
      <c r="S17" s="207">
        <f t="shared" si="1"/>
        <v>4.416666666666667</v>
      </c>
      <c r="T17" s="135"/>
      <c r="U17" s="135"/>
      <c r="V17" s="135"/>
      <c r="W17" s="135"/>
      <c r="X17" s="135"/>
      <c r="Y17" s="135"/>
      <c r="Z17" s="135"/>
      <c r="AA17" s="135"/>
      <c r="AB17" s="136">
        <f>SUM(M17:AA17)</f>
        <v>13.416666666666668</v>
      </c>
      <c r="AC17" s="213" t="str">
        <f t="shared" si="0"/>
        <v>BAIK</v>
      </c>
      <c r="AE17" s="113"/>
    </row>
    <row r="18" spans="1:31" s="88" customFormat="1" ht="31.5" customHeight="1" thickBot="1" x14ac:dyDescent="0.25">
      <c r="A18" s="135">
        <v>4</v>
      </c>
      <c r="B18" s="196" t="s">
        <v>38</v>
      </c>
      <c r="C18" s="217">
        <v>5</v>
      </c>
      <c r="D18" s="217">
        <v>5</v>
      </c>
      <c r="E18" s="217">
        <v>3</v>
      </c>
      <c r="F18" s="217">
        <v>4</v>
      </c>
      <c r="G18" s="217">
        <v>5</v>
      </c>
      <c r="H18" s="217">
        <v>5</v>
      </c>
      <c r="I18" s="217">
        <v>5</v>
      </c>
      <c r="J18" s="217">
        <v>3</v>
      </c>
      <c r="K18" s="217">
        <v>5</v>
      </c>
      <c r="L18" s="217">
        <v>5</v>
      </c>
      <c r="M18" s="217">
        <v>5</v>
      </c>
      <c r="N18" s="217">
        <v>5</v>
      </c>
      <c r="O18" s="217"/>
      <c r="P18" s="212"/>
      <c r="Q18" s="211"/>
      <c r="R18" s="212"/>
      <c r="S18" s="207">
        <f t="shared" si="1"/>
        <v>4.583333333333333</v>
      </c>
      <c r="T18" s="135"/>
      <c r="U18" s="135"/>
      <c r="V18" s="135"/>
      <c r="W18" s="135"/>
      <c r="X18" s="135"/>
      <c r="Y18" s="135"/>
      <c r="Z18" s="135"/>
      <c r="AA18" s="135"/>
      <c r="AB18" s="136"/>
      <c r="AC18" s="213" t="str">
        <f t="shared" si="0"/>
        <v>BAIK</v>
      </c>
      <c r="AE18" s="113"/>
    </row>
    <row r="19" spans="1:31" ht="15" customHeight="1" thickBot="1" x14ac:dyDescent="0.3">
      <c r="A19" s="137"/>
      <c r="B19" s="121"/>
      <c r="C19" s="245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165"/>
      <c r="R19" s="165"/>
      <c r="S19" s="138">
        <f>AVERAGE(S15:S18)</f>
        <v>4.395833333333333</v>
      </c>
      <c r="T19" s="139"/>
      <c r="U19" s="139"/>
      <c r="V19" s="139"/>
      <c r="W19" s="139"/>
      <c r="X19" s="139"/>
      <c r="Y19" s="139"/>
      <c r="Z19" s="139"/>
      <c r="AA19" s="139"/>
      <c r="AB19" s="140"/>
      <c r="AC19" s="138" t="str">
        <f t="shared" ref="AC19" si="2">IF(S19&gt;=5,"SANGAT BAIK",IF(S19&gt;=4,"BAIK",IF(S19&gt;=3,"CUKUP",IF(S19&gt;=2,"KURANG",IF(S19&gt;=0,"TIDAK BAIK")))))</f>
        <v>BAIK</v>
      </c>
    </row>
    <row r="20" spans="1:31" ht="15.75" thickBot="1" x14ac:dyDescent="0.25">
      <c r="A20" s="242" t="s">
        <v>1</v>
      </c>
      <c r="B20" s="242" t="s">
        <v>2</v>
      </c>
      <c r="C20" s="223" t="s">
        <v>23</v>
      </c>
      <c r="D20" s="224"/>
      <c r="E20" s="224"/>
      <c r="F20" s="224"/>
      <c r="G20" s="224"/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123"/>
      <c r="U20" s="123"/>
      <c r="V20" s="123"/>
      <c r="W20" s="123"/>
      <c r="X20" s="123"/>
      <c r="Y20" s="123"/>
      <c r="Z20" s="123"/>
      <c r="AA20" s="123"/>
      <c r="AB20" s="124"/>
      <c r="AC20" s="232" t="s">
        <v>3</v>
      </c>
    </row>
    <row r="21" spans="1:31" ht="6.75" customHeight="1" thickBot="1" x14ac:dyDescent="0.25">
      <c r="A21" s="242"/>
      <c r="B21" s="242"/>
      <c r="C21" s="225"/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6"/>
      <c r="P21" s="226"/>
      <c r="Q21" s="226"/>
      <c r="R21" s="226"/>
      <c r="S21" s="226"/>
      <c r="T21" s="125"/>
      <c r="U21" s="125"/>
      <c r="V21" s="125"/>
      <c r="W21" s="125"/>
      <c r="X21" s="125"/>
      <c r="Y21" s="125"/>
      <c r="Z21" s="125"/>
      <c r="AA21" s="125"/>
      <c r="AB21" s="126"/>
      <c r="AC21" s="233"/>
    </row>
    <row r="22" spans="1:31" ht="16.5" thickTop="1" thickBot="1" x14ac:dyDescent="0.25">
      <c r="A22" s="242"/>
      <c r="B22" s="242"/>
      <c r="C22" s="127">
        <v>1</v>
      </c>
      <c r="D22" s="127">
        <v>2</v>
      </c>
      <c r="E22" s="127">
        <v>3</v>
      </c>
      <c r="F22" s="127">
        <v>4</v>
      </c>
      <c r="G22" s="127">
        <v>5</v>
      </c>
      <c r="H22" s="127">
        <v>6</v>
      </c>
      <c r="I22" s="127">
        <v>7</v>
      </c>
      <c r="J22" s="127">
        <v>8</v>
      </c>
      <c r="K22" s="127">
        <v>9</v>
      </c>
      <c r="L22" s="127">
        <v>10</v>
      </c>
      <c r="M22" s="127">
        <v>11</v>
      </c>
      <c r="N22" s="127">
        <v>12</v>
      </c>
      <c r="O22" s="127">
        <v>13</v>
      </c>
      <c r="P22" s="127">
        <v>14</v>
      </c>
      <c r="Q22" s="127">
        <v>15</v>
      </c>
      <c r="R22" s="127">
        <v>16</v>
      </c>
      <c r="S22" s="127" t="s">
        <v>4</v>
      </c>
      <c r="T22" s="128">
        <v>22</v>
      </c>
      <c r="U22" s="129">
        <v>23</v>
      </c>
      <c r="V22" s="129">
        <v>24</v>
      </c>
      <c r="W22" s="129">
        <v>25</v>
      </c>
      <c r="X22" s="129">
        <v>26</v>
      </c>
      <c r="Y22" s="129">
        <v>27</v>
      </c>
      <c r="Z22" s="129">
        <v>28</v>
      </c>
      <c r="AA22" s="129">
        <v>29</v>
      </c>
      <c r="AB22" s="130" t="s">
        <v>5</v>
      </c>
      <c r="AC22" s="234"/>
    </row>
    <row r="23" spans="1:31" ht="17.25" customHeight="1" thickBot="1" x14ac:dyDescent="0.25">
      <c r="A23" s="157" t="s">
        <v>6</v>
      </c>
      <c r="B23" s="190" t="s">
        <v>39</v>
      </c>
      <c r="C23" s="237"/>
      <c r="D23" s="237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8"/>
      <c r="S23" s="210"/>
      <c r="T23" s="142"/>
      <c r="U23" s="142"/>
      <c r="V23" s="142"/>
      <c r="W23" s="142"/>
      <c r="X23" s="142"/>
      <c r="Y23" s="142"/>
      <c r="Z23" s="142"/>
      <c r="AA23" s="142"/>
      <c r="AB23" s="141"/>
      <c r="AC23" s="209"/>
    </row>
    <row r="24" spans="1:31" ht="24.75" customHeight="1" thickBot="1" x14ac:dyDescent="0.25">
      <c r="A24" s="156">
        <v>1</v>
      </c>
      <c r="B24" s="166" t="s">
        <v>40</v>
      </c>
      <c r="C24" s="217">
        <v>5</v>
      </c>
      <c r="D24" s="217">
        <v>5</v>
      </c>
      <c r="E24" s="217">
        <v>5</v>
      </c>
      <c r="F24" s="217">
        <v>5</v>
      </c>
      <c r="G24" s="217">
        <v>5</v>
      </c>
      <c r="H24" s="217">
        <v>5</v>
      </c>
      <c r="I24" s="217">
        <v>4</v>
      </c>
      <c r="J24" s="217">
        <v>4</v>
      </c>
      <c r="K24" s="217">
        <v>4</v>
      </c>
      <c r="L24" s="217">
        <v>5</v>
      </c>
      <c r="M24" s="217">
        <v>4</v>
      </c>
      <c r="N24" s="217">
        <v>5</v>
      </c>
      <c r="O24" s="217"/>
      <c r="P24" s="217"/>
      <c r="Q24" s="216"/>
      <c r="R24" s="217"/>
      <c r="S24" s="219">
        <f>SUM(C24:R24)/12</f>
        <v>4.666666666666667</v>
      </c>
      <c r="T24" s="147"/>
      <c r="U24" s="147"/>
      <c r="V24" s="147"/>
      <c r="W24" s="147"/>
      <c r="X24" s="147"/>
      <c r="Y24" s="147"/>
      <c r="Z24" s="147"/>
      <c r="AA24" s="147"/>
      <c r="AB24" s="148">
        <f>SUM(M24:AA24)</f>
        <v>13.666666666666668</v>
      </c>
      <c r="AC24" s="213" t="str">
        <f t="shared" ref="AC24:AC28" si="3">IF(S24&gt;=5,"SANGAT BAIK",IF(S24&gt;=4,"BAIK",IF(S24&gt;=3,"CUKUP",IF(S24&gt;=2,"KURANG",IF(S24&gt;=0,"TIDAK BAIK")))))</f>
        <v>BAIK</v>
      </c>
    </row>
    <row r="25" spans="1:31" ht="21.75" customHeight="1" thickBot="1" x14ac:dyDescent="0.25">
      <c r="A25" s="146">
        <v>2</v>
      </c>
      <c r="B25" s="167" t="s">
        <v>41</v>
      </c>
      <c r="C25" s="217">
        <v>5</v>
      </c>
      <c r="D25" s="217">
        <v>5</v>
      </c>
      <c r="E25" s="217">
        <v>5</v>
      </c>
      <c r="F25" s="217">
        <v>5</v>
      </c>
      <c r="G25" s="217">
        <v>5</v>
      </c>
      <c r="H25" s="217">
        <v>5</v>
      </c>
      <c r="I25" s="217">
        <v>5</v>
      </c>
      <c r="J25" s="217">
        <v>5</v>
      </c>
      <c r="K25" s="217">
        <v>5</v>
      </c>
      <c r="L25" s="217">
        <v>5</v>
      </c>
      <c r="M25" s="217">
        <v>5</v>
      </c>
      <c r="N25" s="217">
        <v>5</v>
      </c>
      <c r="O25" s="217"/>
      <c r="P25" s="217"/>
      <c r="Q25" s="216"/>
      <c r="R25" s="217"/>
      <c r="S25" s="219">
        <f t="shared" ref="S25:S27" si="4">SUM(C25:R25)/12</f>
        <v>5</v>
      </c>
      <c r="T25" s="147"/>
      <c r="U25" s="147"/>
      <c r="V25" s="147"/>
      <c r="W25" s="147"/>
      <c r="X25" s="147"/>
      <c r="Y25" s="147"/>
      <c r="Z25" s="147"/>
      <c r="AA25" s="147"/>
      <c r="AB25" s="148"/>
      <c r="AC25" s="213" t="str">
        <f t="shared" si="3"/>
        <v>SANGAT BAIK</v>
      </c>
    </row>
    <row r="26" spans="1:31" ht="23.25" customHeight="1" thickBot="1" x14ac:dyDescent="0.25">
      <c r="A26" s="146">
        <v>3</v>
      </c>
      <c r="B26" s="167" t="s">
        <v>42</v>
      </c>
      <c r="C26" s="217">
        <v>5</v>
      </c>
      <c r="D26" s="217">
        <v>5</v>
      </c>
      <c r="E26" s="217">
        <v>5</v>
      </c>
      <c r="F26" s="217">
        <v>5</v>
      </c>
      <c r="G26" s="217">
        <v>5</v>
      </c>
      <c r="H26" s="217">
        <v>5</v>
      </c>
      <c r="I26" s="217">
        <v>3</v>
      </c>
      <c r="J26" s="217">
        <v>4</v>
      </c>
      <c r="K26" s="217">
        <v>5</v>
      </c>
      <c r="L26" s="217">
        <v>5</v>
      </c>
      <c r="M26" s="217">
        <v>4</v>
      </c>
      <c r="N26" s="217">
        <v>5</v>
      </c>
      <c r="O26" s="217"/>
      <c r="P26" s="217"/>
      <c r="Q26" s="216"/>
      <c r="R26" s="217"/>
      <c r="S26" s="219">
        <f t="shared" si="4"/>
        <v>4.666666666666667</v>
      </c>
      <c r="T26" s="147"/>
      <c r="U26" s="147"/>
      <c r="V26" s="147"/>
      <c r="W26" s="147"/>
      <c r="X26" s="147"/>
      <c r="Y26" s="147"/>
      <c r="Z26" s="147"/>
      <c r="AA26" s="147"/>
      <c r="AB26" s="148"/>
      <c r="AC26" s="213" t="str">
        <f t="shared" si="3"/>
        <v>BAIK</v>
      </c>
    </row>
    <row r="27" spans="1:31" ht="26.25" customHeight="1" thickBot="1" x14ac:dyDescent="0.25">
      <c r="A27" s="158">
        <v>4</v>
      </c>
      <c r="B27" s="168" t="s">
        <v>32</v>
      </c>
      <c r="C27" s="217">
        <v>3</v>
      </c>
      <c r="D27" s="217">
        <v>5</v>
      </c>
      <c r="E27" s="217">
        <v>5</v>
      </c>
      <c r="F27" s="217">
        <v>5</v>
      </c>
      <c r="G27" s="217">
        <v>3</v>
      </c>
      <c r="H27" s="217">
        <v>4</v>
      </c>
      <c r="I27" s="217">
        <v>4</v>
      </c>
      <c r="J27" s="217">
        <v>4</v>
      </c>
      <c r="K27" s="217">
        <v>4</v>
      </c>
      <c r="L27" s="217">
        <v>4</v>
      </c>
      <c r="M27" s="217">
        <v>4</v>
      </c>
      <c r="N27" s="217">
        <v>3</v>
      </c>
      <c r="O27" s="217"/>
      <c r="P27" s="217"/>
      <c r="Q27" s="216"/>
      <c r="R27" s="217"/>
      <c r="S27" s="219">
        <f t="shared" si="4"/>
        <v>4</v>
      </c>
      <c r="T27" s="155"/>
      <c r="U27" s="155"/>
      <c r="V27" s="155"/>
      <c r="W27" s="155"/>
      <c r="X27" s="155"/>
      <c r="Y27" s="155"/>
      <c r="Z27" s="155"/>
      <c r="AA27" s="155"/>
      <c r="AB27" s="155"/>
      <c r="AC27" s="213" t="str">
        <f t="shared" si="3"/>
        <v>BAIK</v>
      </c>
    </row>
    <row r="28" spans="1:31" ht="13.5" customHeight="1" thickBot="1" x14ac:dyDescent="0.25">
      <c r="A28" s="150"/>
      <c r="B28" s="122"/>
      <c r="C28" s="239"/>
      <c r="D28" s="240"/>
      <c r="E28" s="240"/>
      <c r="F28" s="240"/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1"/>
      <c r="S28" s="191">
        <f>AVERAGE(S24:S27)</f>
        <v>4.5833333333333339</v>
      </c>
      <c r="T28" s="151"/>
      <c r="U28" s="151"/>
      <c r="V28" s="151"/>
      <c r="W28" s="151"/>
      <c r="X28" s="151"/>
      <c r="Y28" s="152"/>
      <c r="Z28" s="152"/>
      <c r="AA28" s="152"/>
      <c r="AB28" s="152"/>
      <c r="AC28" s="138" t="str">
        <f t="shared" si="3"/>
        <v>BAIK</v>
      </c>
    </row>
    <row r="29" spans="1:31" ht="27.75" customHeight="1" thickBot="1" x14ac:dyDescent="0.25">
      <c r="A29" s="227" t="s">
        <v>1</v>
      </c>
      <c r="B29" s="229" t="s">
        <v>2</v>
      </c>
      <c r="C29" s="223" t="s">
        <v>23</v>
      </c>
      <c r="D29" s="224"/>
      <c r="E29" s="224"/>
      <c r="F29" s="224"/>
      <c r="G29" s="224"/>
      <c r="H29" s="224"/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35"/>
      <c r="T29" s="220"/>
      <c r="U29" s="220"/>
      <c r="V29" s="220"/>
      <c r="W29" s="220"/>
      <c r="X29" s="220"/>
      <c r="Y29" s="221"/>
      <c r="Z29" s="221"/>
      <c r="AA29" s="221"/>
      <c r="AB29" s="221"/>
      <c r="AC29" s="232" t="s">
        <v>28</v>
      </c>
    </row>
    <row r="30" spans="1:31" ht="22.5" customHeight="1" thickBot="1" x14ac:dyDescent="0.25">
      <c r="A30" s="228"/>
      <c r="B30" s="230"/>
      <c r="C30" s="127">
        <v>1</v>
      </c>
      <c r="D30" s="127">
        <v>2</v>
      </c>
      <c r="E30" s="127">
        <v>3</v>
      </c>
      <c r="F30" s="127">
        <v>4</v>
      </c>
      <c r="G30" s="127">
        <v>5</v>
      </c>
      <c r="H30" s="127">
        <v>6</v>
      </c>
      <c r="I30" s="127">
        <v>7</v>
      </c>
      <c r="J30" s="127">
        <v>8</v>
      </c>
      <c r="K30" s="127">
        <v>9</v>
      </c>
      <c r="L30" s="127">
        <v>10</v>
      </c>
      <c r="M30" s="127">
        <v>11</v>
      </c>
      <c r="N30" s="127">
        <v>12</v>
      </c>
      <c r="O30" s="127">
        <v>13</v>
      </c>
      <c r="P30" s="127">
        <v>14</v>
      </c>
      <c r="Q30" s="127">
        <v>15</v>
      </c>
      <c r="R30" s="127">
        <v>16</v>
      </c>
      <c r="S30" s="127" t="s">
        <v>4</v>
      </c>
      <c r="T30" s="159"/>
      <c r="U30" s="159"/>
      <c r="V30" s="159"/>
      <c r="W30" s="159"/>
      <c r="X30" s="159"/>
      <c r="Y30" s="159"/>
      <c r="Z30" s="159"/>
      <c r="AA30" s="159"/>
      <c r="AB30" s="162"/>
      <c r="AC30" s="233"/>
    </row>
    <row r="31" spans="1:31" ht="24" customHeight="1" thickBot="1" x14ac:dyDescent="0.25">
      <c r="A31" s="143" t="s">
        <v>27</v>
      </c>
      <c r="B31" s="171" t="s">
        <v>7</v>
      </c>
      <c r="C31" s="243" t="s">
        <v>69</v>
      </c>
      <c r="D31" s="243"/>
      <c r="E31" s="243"/>
      <c r="F31" s="243"/>
      <c r="G31" s="243"/>
      <c r="H31" s="243"/>
      <c r="I31" s="243"/>
      <c r="J31" s="243"/>
      <c r="K31" s="243"/>
      <c r="L31" s="243"/>
      <c r="M31" s="243"/>
      <c r="N31" s="243"/>
      <c r="O31" s="243"/>
      <c r="P31" s="243"/>
      <c r="Q31" s="243"/>
      <c r="R31" s="243"/>
      <c r="S31" s="244"/>
      <c r="T31" s="144"/>
      <c r="U31" s="144"/>
      <c r="V31" s="144"/>
      <c r="W31" s="144"/>
      <c r="X31" s="144"/>
      <c r="Y31" s="144"/>
      <c r="Z31" s="144"/>
      <c r="AA31" s="144"/>
      <c r="AB31" s="145"/>
      <c r="AC31" s="234"/>
    </row>
    <row r="32" spans="1:31" ht="25.5" customHeight="1" thickBot="1" x14ac:dyDescent="0.25">
      <c r="A32" s="154">
        <v>1</v>
      </c>
      <c r="B32" s="197" t="s">
        <v>43</v>
      </c>
      <c r="C32" s="217">
        <v>5</v>
      </c>
      <c r="D32" s="217">
        <v>5</v>
      </c>
      <c r="E32" s="217">
        <v>5</v>
      </c>
      <c r="F32" s="217">
        <v>5</v>
      </c>
      <c r="G32" s="217">
        <v>5</v>
      </c>
      <c r="H32" s="217">
        <v>5</v>
      </c>
      <c r="I32" s="217">
        <v>5</v>
      </c>
      <c r="J32" s="217">
        <v>5</v>
      </c>
      <c r="K32" s="217">
        <v>5</v>
      </c>
      <c r="L32" s="217">
        <v>5</v>
      </c>
      <c r="M32" s="217">
        <v>5</v>
      </c>
      <c r="N32" s="217">
        <v>5</v>
      </c>
      <c r="O32" s="217"/>
      <c r="P32" s="217"/>
      <c r="Q32" s="217"/>
      <c r="R32" s="217"/>
      <c r="S32" s="192">
        <f>SUM(C32:R32)/12</f>
        <v>5</v>
      </c>
      <c r="T32" s="147"/>
      <c r="U32" s="147"/>
      <c r="V32" s="147"/>
      <c r="W32" s="147"/>
      <c r="X32" s="147"/>
      <c r="Y32" s="147"/>
      <c r="Z32" s="147"/>
      <c r="AA32" s="147"/>
      <c r="AB32" s="148"/>
      <c r="AC32" s="222" t="str">
        <f t="shared" ref="AC32:AC36" si="5">IF(S32&gt;=5,"SANGAT BAIK",IF(S32&gt;=4,"BAIK",IF(S32&gt;=3,"CUKUP",IF(S32&gt;=2,"KURANG",IF(S32&gt;=0,"TIDAK BAIK")))))</f>
        <v>SANGAT BAIK</v>
      </c>
    </row>
    <row r="33" spans="1:29" ht="22.5" customHeight="1" thickBot="1" x14ac:dyDescent="0.25">
      <c r="A33" s="146">
        <v>2</v>
      </c>
      <c r="B33" s="198" t="s">
        <v>33</v>
      </c>
      <c r="C33" s="217">
        <v>5</v>
      </c>
      <c r="D33" s="217">
        <v>5</v>
      </c>
      <c r="E33" s="217">
        <v>4</v>
      </c>
      <c r="F33" s="217">
        <v>5</v>
      </c>
      <c r="G33" s="217">
        <v>5</v>
      </c>
      <c r="H33" s="217">
        <v>5</v>
      </c>
      <c r="I33" s="217">
        <v>4</v>
      </c>
      <c r="J33" s="217">
        <v>5</v>
      </c>
      <c r="K33" s="217">
        <v>5</v>
      </c>
      <c r="L33" s="217">
        <v>5</v>
      </c>
      <c r="M33" s="217">
        <v>5</v>
      </c>
      <c r="N33" s="217">
        <v>5</v>
      </c>
      <c r="O33" s="217"/>
      <c r="P33" s="217"/>
      <c r="Q33" s="217"/>
      <c r="R33" s="217"/>
      <c r="S33" s="192">
        <f t="shared" ref="S33:S35" si="6">SUM(C33:R33)/12</f>
        <v>4.833333333333333</v>
      </c>
      <c r="T33" s="147"/>
      <c r="U33" s="147"/>
      <c r="V33" s="147"/>
      <c r="W33" s="147"/>
      <c r="X33" s="147"/>
      <c r="Y33" s="147"/>
      <c r="Z33" s="147"/>
      <c r="AA33" s="147"/>
      <c r="AB33" s="148"/>
      <c r="AC33" s="213" t="str">
        <f t="shared" si="5"/>
        <v>BAIK</v>
      </c>
    </row>
    <row r="34" spans="1:29" ht="19.5" customHeight="1" thickBot="1" x14ac:dyDescent="0.25">
      <c r="A34" s="146">
        <v>3</v>
      </c>
      <c r="B34" s="198" t="s">
        <v>44</v>
      </c>
      <c r="C34" s="217">
        <v>5</v>
      </c>
      <c r="D34" s="217">
        <v>5</v>
      </c>
      <c r="E34" s="217">
        <v>5</v>
      </c>
      <c r="F34" s="217">
        <v>5</v>
      </c>
      <c r="G34" s="217">
        <v>5</v>
      </c>
      <c r="H34" s="217">
        <v>5</v>
      </c>
      <c r="I34" s="217">
        <v>5</v>
      </c>
      <c r="J34" s="217">
        <v>5</v>
      </c>
      <c r="K34" s="217">
        <v>5</v>
      </c>
      <c r="L34" s="217">
        <v>5</v>
      </c>
      <c r="M34" s="217">
        <v>5</v>
      </c>
      <c r="N34" s="217">
        <v>4</v>
      </c>
      <c r="O34" s="217"/>
      <c r="P34" s="217"/>
      <c r="Q34" s="217"/>
      <c r="R34" s="217"/>
      <c r="S34" s="192">
        <f t="shared" si="6"/>
        <v>4.916666666666667</v>
      </c>
      <c r="T34" s="147"/>
      <c r="U34" s="147"/>
      <c r="V34" s="147"/>
      <c r="W34" s="147"/>
      <c r="X34" s="147"/>
      <c r="Y34" s="147"/>
      <c r="Z34" s="147"/>
      <c r="AA34" s="147"/>
      <c r="AB34" s="148"/>
      <c r="AC34" s="213" t="str">
        <f t="shared" si="5"/>
        <v>BAIK</v>
      </c>
    </row>
    <row r="35" spans="1:29" ht="24.75" customHeight="1" thickBot="1" x14ac:dyDescent="0.25">
      <c r="A35" s="161">
        <v>4</v>
      </c>
      <c r="B35" s="199" t="s">
        <v>34</v>
      </c>
      <c r="C35" s="217">
        <v>5</v>
      </c>
      <c r="D35" s="217">
        <v>5</v>
      </c>
      <c r="E35" s="217">
        <v>5</v>
      </c>
      <c r="F35" s="217">
        <v>5</v>
      </c>
      <c r="G35" s="217">
        <v>5</v>
      </c>
      <c r="H35" s="217">
        <v>5</v>
      </c>
      <c r="I35" s="217">
        <v>5</v>
      </c>
      <c r="J35" s="217">
        <v>5</v>
      </c>
      <c r="K35" s="217">
        <v>5</v>
      </c>
      <c r="L35" s="217">
        <v>5</v>
      </c>
      <c r="M35" s="217">
        <v>5</v>
      </c>
      <c r="N35" s="217">
        <v>4</v>
      </c>
      <c r="O35" s="217"/>
      <c r="P35" s="217"/>
      <c r="Q35" s="217"/>
      <c r="R35" s="217"/>
      <c r="S35" s="192">
        <f t="shared" si="6"/>
        <v>4.916666666666667</v>
      </c>
      <c r="T35" s="147"/>
      <c r="U35" s="147"/>
      <c r="V35" s="147"/>
      <c r="W35" s="147"/>
      <c r="X35" s="147"/>
      <c r="Y35" s="147"/>
      <c r="Z35" s="147"/>
      <c r="AA35" s="147"/>
      <c r="AB35" s="148"/>
      <c r="AC35" s="213" t="str">
        <f t="shared" si="5"/>
        <v>BAIK</v>
      </c>
    </row>
    <row r="36" spans="1:29" ht="27" customHeight="1" thickBot="1" x14ac:dyDescent="0.25">
      <c r="A36" s="160"/>
      <c r="B36" s="122"/>
      <c r="C36" s="245"/>
      <c r="D36" s="246"/>
      <c r="E36" s="246"/>
      <c r="F36" s="246"/>
      <c r="G36" s="246"/>
      <c r="H36" s="246"/>
      <c r="I36" s="246"/>
      <c r="J36" s="246"/>
      <c r="K36" s="246"/>
      <c r="L36" s="246"/>
      <c r="M36" s="246"/>
      <c r="N36" s="246"/>
      <c r="O36" s="246"/>
      <c r="P36" s="246"/>
      <c r="Q36" s="165"/>
      <c r="R36" s="165"/>
      <c r="S36" s="138">
        <f>AVERAGE(S32:S35)</f>
        <v>4.916666666666667</v>
      </c>
      <c r="T36" s="152"/>
      <c r="U36" s="152"/>
      <c r="V36" s="152"/>
      <c r="W36" s="152"/>
      <c r="X36" s="152"/>
      <c r="Y36" s="152"/>
      <c r="Z36" s="152"/>
      <c r="AA36" s="152"/>
      <c r="AB36" s="152"/>
      <c r="AC36" s="138" t="str">
        <f t="shared" si="5"/>
        <v>BAIK</v>
      </c>
    </row>
    <row r="37" spans="1:29" ht="19.149999999999999" customHeight="1" thickBot="1" x14ac:dyDescent="0.25">
      <c r="A37" s="227" t="s">
        <v>47</v>
      </c>
      <c r="B37" s="257" t="s">
        <v>2</v>
      </c>
      <c r="C37" s="223" t="s">
        <v>23</v>
      </c>
      <c r="D37" s="224"/>
      <c r="E37" s="224"/>
      <c r="F37" s="224"/>
      <c r="G37" s="224"/>
      <c r="H37" s="224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35"/>
      <c r="T37" s="152"/>
      <c r="U37" s="152"/>
      <c r="V37" s="152"/>
      <c r="W37" s="152"/>
      <c r="X37" s="152"/>
      <c r="Y37" s="152"/>
      <c r="Z37" s="152"/>
      <c r="AA37" s="152"/>
      <c r="AB37" s="152"/>
      <c r="AC37" s="232" t="s">
        <v>28</v>
      </c>
    </row>
    <row r="38" spans="1:29" ht="31.15" customHeight="1" thickBot="1" x14ac:dyDescent="0.25">
      <c r="A38" s="228"/>
      <c r="B38" s="258"/>
      <c r="C38" s="127">
        <v>1</v>
      </c>
      <c r="D38" s="127">
        <v>2</v>
      </c>
      <c r="E38" s="127">
        <v>3</v>
      </c>
      <c r="F38" s="127">
        <v>4</v>
      </c>
      <c r="G38" s="127">
        <v>5</v>
      </c>
      <c r="H38" s="127">
        <v>6</v>
      </c>
      <c r="I38" s="127">
        <v>7</v>
      </c>
      <c r="J38" s="127">
        <v>8</v>
      </c>
      <c r="K38" s="127">
        <v>9</v>
      </c>
      <c r="L38" s="127">
        <v>10</v>
      </c>
      <c r="M38" s="127">
        <v>11</v>
      </c>
      <c r="N38" s="127">
        <v>12</v>
      </c>
      <c r="O38" s="127">
        <v>13</v>
      </c>
      <c r="P38" s="127">
        <v>14</v>
      </c>
      <c r="Q38" s="127">
        <v>15</v>
      </c>
      <c r="R38" s="127">
        <v>16</v>
      </c>
      <c r="S38" s="127" t="s">
        <v>4</v>
      </c>
      <c r="T38" s="152"/>
      <c r="U38" s="152"/>
      <c r="V38" s="152"/>
      <c r="W38" s="152"/>
      <c r="X38" s="152"/>
      <c r="Y38" s="152"/>
      <c r="Z38" s="152"/>
      <c r="AA38" s="152"/>
      <c r="AB38" s="152"/>
      <c r="AC38" s="233"/>
    </row>
    <row r="39" spans="1:29" ht="31.15" customHeight="1" thickBot="1" x14ac:dyDescent="0.25">
      <c r="A39" s="143" t="s">
        <v>45</v>
      </c>
      <c r="B39" s="171" t="s">
        <v>46</v>
      </c>
      <c r="C39" s="259"/>
      <c r="D39" s="260"/>
      <c r="E39" s="260"/>
      <c r="F39" s="260"/>
      <c r="G39" s="260"/>
      <c r="H39" s="260"/>
      <c r="I39" s="260"/>
      <c r="J39" s="260"/>
      <c r="K39" s="260"/>
      <c r="L39" s="260"/>
      <c r="M39" s="260"/>
      <c r="N39" s="260"/>
      <c r="O39" s="260"/>
      <c r="P39" s="260"/>
      <c r="Q39" s="260"/>
      <c r="R39" s="260"/>
      <c r="S39" s="261"/>
      <c r="T39" s="144"/>
      <c r="U39" s="144"/>
      <c r="V39" s="144"/>
      <c r="W39" s="144"/>
      <c r="X39" s="144"/>
      <c r="Y39" s="144"/>
      <c r="Z39" s="144"/>
      <c r="AA39" s="144"/>
      <c r="AB39" s="145"/>
      <c r="AC39" s="234"/>
    </row>
    <row r="40" spans="1:29" ht="45.75" customHeight="1" thickBot="1" x14ac:dyDescent="0.25">
      <c r="A40" s="146">
        <v>1</v>
      </c>
      <c r="B40" s="200" t="s">
        <v>48</v>
      </c>
      <c r="C40" s="217">
        <v>3</v>
      </c>
      <c r="D40" s="217">
        <v>5</v>
      </c>
      <c r="E40" s="217">
        <v>4</v>
      </c>
      <c r="F40" s="217">
        <v>5</v>
      </c>
      <c r="G40" s="217">
        <v>5</v>
      </c>
      <c r="H40" s="217">
        <v>5</v>
      </c>
      <c r="I40" s="217">
        <v>4</v>
      </c>
      <c r="J40" s="217">
        <v>4</v>
      </c>
      <c r="K40" s="217">
        <v>4</v>
      </c>
      <c r="L40" s="217">
        <v>5</v>
      </c>
      <c r="M40" s="217">
        <v>4</v>
      </c>
      <c r="N40" s="217">
        <v>5</v>
      </c>
      <c r="O40" s="217"/>
      <c r="P40" s="217"/>
      <c r="Q40" s="217"/>
      <c r="R40" s="217"/>
      <c r="S40" s="192">
        <f>SUM(C40:R40)/12</f>
        <v>4.416666666666667</v>
      </c>
      <c r="T40" s="147"/>
      <c r="U40" s="147"/>
      <c r="V40" s="147"/>
      <c r="W40" s="147"/>
      <c r="X40" s="147"/>
      <c r="Y40" s="147"/>
      <c r="Z40" s="147"/>
      <c r="AA40" s="147"/>
      <c r="AB40" s="148"/>
      <c r="AC40" s="213" t="str">
        <f t="shared" ref="AC40:AC45" si="7">IF(S40&gt;=5,"SANGAT BAIK",IF(S40&gt;=4,"BAIK",IF(S40&gt;=3,"CUKUP",IF(S40&gt;=2,"KURANG",IF(S40&gt;=0,"TIDAK BAIK")))))</f>
        <v>BAIK</v>
      </c>
    </row>
    <row r="41" spans="1:29" ht="38.25" customHeight="1" thickBot="1" x14ac:dyDescent="0.25">
      <c r="A41" s="146">
        <v>2</v>
      </c>
      <c r="B41" s="198" t="s">
        <v>49</v>
      </c>
      <c r="C41" s="217">
        <v>5</v>
      </c>
      <c r="D41" s="217">
        <v>5</v>
      </c>
      <c r="E41" s="217">
        <v>5</v>
      </c>
      <c r="F41" s="217">
        <v>5</v>
      </c>
      <c r="G41" s="217">
        <v>4</v>
      </c>
      <c r="H41" s="217">
        <v>5</v>
      </c>
      <c r="I41" s="217">
        <v>4</v>
      </c>
      <c r="J41" s="217">
        <v>4</v>
      </c>
      <c r="K41" s="217">
        <v>5</v>
      </c>
      <c r="L41" s="217">
        <v>5</v>
      </c>
      <c r="M41" s="217">
        <v>4</v>
      </c>
      <c r="N41" s="217">
        <v>4</v>
      </c>
      <c r="O41" s="217"/>
      <c r="P41" s="217"/>
      <c r="Q41" s="217"/>
      <c r="R41" s="217"/>
      <c r="S41" s="192">
        <f t="shared" ref="S41:S44" si="8">SUM(C41:R41)/12</f>
        <v>4.583333333333333</v>
      </c>
      <c r="T41" s="147"/>
      <c r="U41" s="147"/>
      <c r="V41" s="147"/>
      <c r="W41" s="147"/>
      <c r="X41" s="147"/>
      <c r="Y41" s="147"/>
      <c r="Z41" s="147"/>
      <c r="AA41" s="147"/>
      <c r="AB41" s="148"/>
      <c r="AC41" s="213" t="str">
        <f t="shared" si="7"/>
        <v>BAIK</v>
      </c>
    </row>
    <row r="42" spans="1:29" ht="42.75" customHeight="1" thickBot="1" x14ac:dyDescent="0.25">
      <c r="A42" s="149">
        <v>3</v>
      </c>
      <c r="B42" s="198" t="s">
        <v>50</v>
      </c>
      <c r="C42" s="217">
        <v>3</v>
      </c>
      <c r="D42" s="217">
        <v>5</v>
      </c>
      <c r="E42" s="217">
        <v>4</v>
      </c>
      <c r="F42" s="217">
        <v>5</v>
      </c>
      <c r="G42" s="217">
        <v>5</v>
      </c>
      <c r="H42" s="217">
        <v>3</v>
      </c>
      <c r="I42" s="217">
        <v>5</v>
      </c>
      <c r="J42" s="217">
        <v>4</v>
      </c>
      <c r="K42" s="217">
        <v>5</v>
      </c>
      <c r="L42" s="217">
        <v>5</v>
      </c>
      <c r="M42" s="217">
        <v>2</v>
      </c>
      <c r="N42" s="217">
        <v>3</v>
      </c>
      <c r="O42" s="217"/>
      <c r="P42" s="217"/>
      <c r="Q42" s="217"/>
      <c r="R42" s="217"/>
      <c r="S42" s="192">
        <f t="shared" si="8"/>
        <v>4.083333333333333</v>
      </c>
      <c r="T42" s="144"/>
      <c r="U42" s="144"/>
      <c r="V42" s="144"/>
      <c r="W42" s="144"/>
      <c r="X42" s="144"/>
      <c r="Y42" s="144"/>
      <c r="Z42" s="144"/>
      <c r="AA42" s="144"/>
      <c r="AB42" s="145"/>
      <c r="AC42" s="213" t="str">
        <f t="shared" si="7"/>
        <v>BAIK</v>
      </c>
    </row>
    <row r="43" spans="1:29" ht="29.25" thickBot="1" x14ac:dyDescent="0.25">
      <c r="A43" s="149">
        <v>4</v>
      </c>
      <c r="B43" s="198" t="s">
        <v>51</v>
      </c>
      <c r="C43" s="217">
        <v>5</v>
      </c>
      <c r="D43" s="217">
        <v>5</v>
      </c>
      <c r="E43" s="217">
        <v>5</v>
      </c>
      <c r="F43" s="217">
        <v>5</v>
      </c>
      <c r="G43" s="217">
        <v>5</v>
      </c>
      <c r="H43" s="217">
        <v>4</v>
      </c>
      <c r="I43" s="217">
        <v>5</v>
      </c>
      <c r="J43" s="217">
        <v>5</v>
      </c>
      <c r="K43" s="217">
        <v>5</v>
      </c>
      <c r="L43" s="217">
        <v>5</v>
      </c>
      <c r="M43" s="217">
        <v>4</v>
      </c>
      <c r="N43" s="217">
        <v>4</v>
      </c>
      <c r="O43" s="217"/>
      <c r="P43" s="217"/>
      <c r="Q43" s="217"/>
      <c r="R43" s="217"/>
      <c r="S43" s="192">
        <f t="shared" si="8"/>
        <v>4.75</v>
      </c>
      <c r="T43" s="144"/>
      <c r="U43" s="144"/>
      <c r="V43" s="144"/>
      <c r="W43" s="144"/>
      <c r="X43" s="144"/>
      <c r="Y43" s="144"/>
      <c r="Z43" s="144"/>
      <c r="AA43" s="144"/>
      <c r="AB43" s="145"/>
      <c r="AC43" s="213" t="str">
        <f t="shared" si="7"/>
        <v>BAIK</v>
      </c>
    </row>
    <row r="44" spans="1:29" s="88" customFormat="1" ht="29.25" thickBot="1" x14ac:dyDescent="0.25">
      <c r="A44" s="149">
        <v>5</v>
      </c>
      <c r="B44" s="199" t="s">
        <v>52</v>
      </c>
      <c r="C44" s="217">
        <v>5</v>
      </c>
      <c r="D44" s="217">
        <v>5</v>
      </c>
      <c r="E44" s="217">
        <v>5</v>
      </c>
      <c r="F44" s="217">
        <v>5</v>
      </c>
      <c r="G44" s="217">
        <v>5</v>
      </c>
      <c r="H44" s="217">
        <v>5</v>
      </c>
      <c r="I44" s="217">
        <v>4</v>
      </c>
      <c r="J44" s="217">
        <v>4</v>
      </c>
      <c r="K44" s="217">
        <v>5</v>
      </c>
      <c r="L44" s="217">
        <v>5</v>
      </c>
      <c r="M44" s="217">
        <v>3</v>
      </c>
      <c r="N44" s="217">
        <v>4</v>
      </c>
      <c r="O44" s="217"/>
      <c r="P44" s="217"/>
      <c r="Q44" s="217"/>
      <c r="R44" s="217"/>
      <c r="S44" s="192">
        <f t="shared" si="8"/>
        <v>4.583333333333333</v>
      </c>
      <c r="T44" s="144"/>
      <c r="U44" s="144"/>
      <c r="V44" s="144"/>
      <c r="W44" s="144"/>
      <c r="X44" s="144"/>
      <c r="Y44" s="144"/>
      <c r="Z44" s="144"/>
      <c r="AA44" s="144"/>
      <c r="AB44" s="145"/>
      <c r="AC44" s="213" t="str">
        <f t="shared" si="7"/>
        <v>BAIK</v>
      </c>
    </row>
    <row r="45" spans="1:29" s="88" customFormat="1" ht="15.75" thickBot="1" x14ac:dyDescent="0.25">
      <c r="A45" s="153"/>
      <c r="B45" s="122"/>
      <c r="C45" s="239"/>
      <c r="D45" s="240"/>
      <c r="E45" s="240"/>
      <c r="F45" s="240"/>
      <c r="G45" s="240"/>
      <c r="H45" s="240"/>
      <c r="I45" s="240"/>
      <c r="J45" s="240"/>
      <c r="K45" s="240"/>
      <c r="L45" s="240"/>
      <c r="M45" s="240"/>
      <c r="N45" s="240"/>
      <c r="O45" s="240"/>
      <c r="P45" s="240"/>
      <c r="Q45" s="169"/>
      <c r="R45" s="169"/>
      <c r="S45" s="138">
        <f>AVERAGE(S40:S44)</f>
        <v>4.4833333333333325</v>
      </c>
      <c r="T45" s="152"/>
      <c r="U45" s="152"/>
      <c r="V45" s="152"/>
      <c r="W45" s="152"/>
      <c r="X45" s="152"/>
      <c r="Y45" s="152"/>
      <c r="Z45" s="152"/>
      <c r="AA45" s="152"/>
      <c r="AB45" s="152"/>
      <c r="AC45" s="138" t="str">
        <f t="shared" si="7"/>
        <v>BAIK</v>
      </c>
    </row>
    <row r="46" spans="1:29" s="88" customFormat="1" x14ac:dyDescent="0.2"/>
    <row r="47" spans="1:29" s="88" customFormat="1" x14ac:dyDescent="0.2">
      <c r="A47" s="87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90"/>
      <c r="T47" s="91"/>
      <c r="U47" s="91"/>
      <c r="V47" s="91"/>
      <c r="W47" s="91"/>
      <c r="X47" s="91"/>
      <c r="Y47" s="91"/>
      <c r="Z47" s="91"/>
      <c r="AA47" s="91"/>
      <c r="AB47" s="92"/>
      <c r="AC47" s="91"/>
    </row>
    <row r="48" spans="1:29" s="88" customFormat="1" x14ac:dyDescent="0.2">
      <c r="A48" s="87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90"/>
      <c r="T48" s="91"/>
      <c r="U48" s="91"/>
      <c r="V48" s="91"/>
      <c r="W48" s="91"/>
      <c r="X48" s="91"/>
      <c r="Y48" s="91"/>
      <c r="Z48" s="91"/>
      <c r="AA48" s="91"/>
      <c r="AB48" s="92"/>
      <c r="AC48" s="91"/>
    </row>
    <row r="49" spans="1:29" s="88" customFormat="1" x14ac:dyDescent="0.2">
      <c r="A49" s="87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90"/>
      <c r="T49" s="91"/>
      <c r="U49" s="91"/>
      <c r="V49" s="91"/>
      <c r="W49" s="91"/>
      <c r="X49" s="91"/>
      <c r="Y49" s="91"/>
      <c r="Z49" s="91"/>
      <c r="AA49" s="91"/>
      <c r="AB49" s="92"/>
      <c r="AC49" s="91"/>
    </row>
    <row r="50" spans="1:29" s="88" customFormat="1" x14ac:dyDescent="0.2">
      <c r="A50" s="87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90"/>
      <c r="T50" s="91"/>
      <c r="U50" s="91"/>
      <c r="V50" s="91"/>
      <c r="W50" s="91"/>
      <c r="X50" s="91"/>
      <c r="Y50" s="91"/>
      <c r="Z50" s="91"/>
      <c r="AA50" s="91"/>
      <c r="AB50" s="92"/>
      <c r="AC50" s="91"/>
    </row>
    <row r="51" spans="1:29" s="88" customFormat="1" x14ac:dyDescent="0.2">
      <c r="A51" s="87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90"/>
      <c r="T51" s="91"/>
      <c r="U51" s="91"/>
      <c r="V51" s="91"/>
      <c r="W51" s="91"/>
      <c r="X51" s="91"/>
      <c r="Y51" s="91"/>
      <c r="Z51" s="91"/>
      <c r="AA51" s="91"/>
      <c r="AB51" s="92"/>
      <c r="AC51" s="91"/>
    </row>
    <row r="52" spans="1:29" s="88" customFormat="1" x14ac:dyDescent="0.2">
      <c r="A52" s="87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90"/>
      <c r="T52" s="91"/>
      <c r="U52" s="91"/>
      <c r="V52" s="91"/>
      <c r="W52" s="91"/>
      <c r="X52" s="91"/>
      <c r="Y52" s="91"/>
      <c r="Z52" s="91"/>
      <c r="AA52" s="91"/>
      <c r="AB52" s="92"/>
      <c r="AC52" s="91"/>
    </row>
    <row r="53" spans="1:29" s="88" customFormat="1" x14ac:dyDescent="0.2">
      <c r="A53" s="87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90"/>
      <c r="T53" s="91"/>
      <c r="U53" s="91"/>
      <c r="V53" s="91"/>
      <c r="W53" s="91"/>
      <c r="X53" s="91"/>
      <c r="Y53" s="91"/>
      <c r="Z53" s="91"/>
      <c r="AA53" s="91"/>
      <c r="AB53" s="92"/>
      <c r="AC53" s="91"/>
    </row>
    <row r="54" spans="1:29" s="88" customFormat="1" x14ac:dyDescent="0.2">
      <c r="A54" s="87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90"/>
      <c r="T54" s="91"/>
      <c r="U54" s="91"/>
      <c r="V54" s="91"/>
      <c r="W54" s="91"/>
      <c r="X54" s="91"/>
      <c r="Y54" s="91"/>
      <c r="Z54" s="91"/>
      <c r="AA54" s="91"/>
      <c r="AB54" s="92"/>
      <c r="AC54" s="91"/>
    </row>
    <row r="55" spans="1:29" s="88" customFormat="1" x14ac:dyDescent="0.2">
      <c r="A55" s="87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90"/>
      <c r="T55" s="91"/>
      <c r="U55" s="91"/>
      <c r="V55" s="91"/>
      <c r="W55" s="91"/>
      <c r="X55" s="91"/>
      <c r="Y55" s="91"/>
      <c r="Z55" s="91"/>
      <c r="AA55" s="91"/>
      <c r="AB55" s="92"/>
      <c r="AC55" s="91"/>
    </row>
    <row r="56" spans="1:29" s="88" customFormat="1" x14ac:dyDescent="0.2">
      <c r="A56" s="87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90"/>
      <c r="T56" s="91"/>
      <c r="U56" s="91"/>
      <c r="V56" s="91"/>
      <c r="W56" s="91"/>
      <c r="X56" s="91"/>
      <c r="Y56" s="91"/>
      <c r="Z56" s="91"/>
      <c r="AA56" s="91"/>
      <c r="AB56" s="92"/>
      <c r="AC56" s="91"/>
    </row>
    <row r="57" spans="1:29" x14ac:dyDescent="0.2">
      <c r="A57" s="87"/>
      <c r="B57" s="88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90"/>
      <c r="T57" s="91"/>
      <c r="U57" s="91"/>
      <c r="V57" s="91"/>
      <c r="W57" s="91"/>
      <c r="X57" s="91"/>
      <c r="Y57" s="91"/>
      <c r="Z57" s="91"/>
      <c r="AA57" s="91"/>
      <c r="AB57" s="92"/>
      <c r="AC57" s="91"/>
    </row>
    <row r="58" spans="1:29" x14ac:dyDescent="0.2">
      <c r="A58" s="87"/>
      <c r="B58" s="88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90"/>
      <c r="T58" s="91"/>
      <c r="U58" s="91"/>
      <c r="V58" s="91"/>
      <c r="W58" s="91"/>
      <c r="X58" s="91"/>
      <c r="Y58" s="91"/>
      <c r="Z58" s="91"/>
      <c r="AA58" s="91"/>
      <c r="AB58" s="92"/>
      <c r="AC58" s="91"/>
    </row>
    <row r="59" spans="1:29" x14ac:dyDescent="0.2">
      <c r="A59" s="87"/>
      <c r="B59" s="88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90"/>
      <c r="T59" s="91"/>
      <c r="U59" s="91"/>
      <c r="V59" s="91"/>
      <c r="W59" s="91"/>
      <c r="X59" s="91"/>
      <c r="Y59" s="91"/>
      <c r="Z59" s="91"/>
      <c r="AA59" s="91"/>
      <c r="AB59" s="92"/>
      <c r="AC59" s="91"/>
    </row>
    <row r="60" spans="1:29" x14ac:dyDescent="0.2">
      <c r="A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10"/>
      <c r="T60" s="5"/>
      <c r="U60" s="5"/>
      <c r="V60" s="5"/>
      <c r="W60" s="5"/>
      <c r="X60" s="5"/>
      <c r="Y60" s="5"/>
      <c r="Z60" s="5"/>
      <c r="AA60" s="5"/>
      <c r="AB60" s="11"/>
      <c r="AC60" s="5"/>
    </row>
    <row r="61" spans="1:29" x14ac:dyDescent="0.2">
      <c r="A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10"/>
      <c r="T61" s="5"/>
      <c r="U61" s="5"/>
      <c r="V61" s="5"/>
      <c r="W61" s="5"/>
      <c r="X61" s="5"/>
      <c r="Y61" s="5"/>
      <c r="Z61" s="5"/>
      <c r="AA61" s="5"/>
      <c r="AB61" s="11"/>
      <c r="AC61" s="5"/>
    </row>
    <row r="62" spans="1:29" x14ac:dyDescent="0.2">
      <c r="A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10"/>
      <c r="T62" s="5"/>
      <c r="U62" s="5"/>
      <c r="V62" s="5"/>
      <c r="W62" s="5"/>
      <c r="X62" s="5"/>
      <c r="Y62" s="5"/>
      <c r="Z62" s="5"/>
      <c r="AA62" s="5"/>
      <c r="AB62" s="11"/>
      <c r="AC62" s="5"/>
    </row>
    <row r="63" spans="1:29" x14ac:dyDescent="0.2">
      <c r="A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10"/>
      <c r="T63" s="5"/>
      <c r="U63" s="5"/>
      <c r="V63" s="5"/>
      <c r="W63" s="5"/>
      <c r="X63" s="5"/>
      <c r="Y63" s="5"/>
      <c r="Z63" s="5"/>
      <c r="AA63" s="5"/>
      <c r="AB63" s="11"/>
      <c r="AC63" s="5"/>
    </row>
    <row r="64" spans="1:29" x14ac:dyDescent="0.2">
      <c r="A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10"/>
      <c r="T64" s="5"/>
      <c r="U64" s="5"/>
      <c r="V64" s="5"/>
      <c r="W64" s="5"/>
      <c r="X64" s="5"/>
      <c r="Y64" s="5"/>
      <c r="Z64" s="5"/>
      <c r="AA64" s="5"/>
      <c r="AB64" s="11"/>
      <c r="AC64" s="5"/>
    </row>
    <row r="65" spans="1:29" x14ac:dyDescent="0.2">
      <c r="A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10"/>
      <c r="T65" s="5"/>
      <c r="U65" s="5"/>
      <c r="V65" s="5"/>
      <c r="W65" s="5"/>
      <c r="X65" s="5"/>
      <c r="Y65" s="5"/>
      <c r="Z65" s="5"/>
      <c r="AA65" s="5"/>
      <c r="AB65" s="11"/>
      <c r="AC65" s="5"/>
    </row>
    <row r="66" spans="1:29" x14ac:dyDescent="0.2">
      <c r="A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10"/>
      <c r="T66" s="5"/>
      <c r="U66" s="5"/>
      <c r="V66" s="5"/>
      <c r="W66" s="5"/>
      <c r="X66" s="5"/>
      <c r="Y66" s="5"/>
      <c r="Z66" s="5"/>
      <c r="AA66" s="5"/>
      <c r="AB66" s="11"/>
      <c r="AC66" s="5"/>
    </row>
    <row r="67" spans="1:29" x14ac:dyDescent="0.2">
      <c r="A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10"/>
      <c r="T67" s="5"/>
      <c r="U67" s="5"/>
      <c r="V67" s="5"/>
      <c r="W67" s="5"/>
      <c r="X67" s="5"/>
      <c r="Y67" s="5"/>
      <c r="Z67" s="5"/>
      <c r="AA67" s="5"/>
      <c r="AB67" s="11"/>
      <c r="AC67" s="5"/>
    </row>
    <row r="68" spans="1:29" x14ac:dyDescent="0.2">
      <c r="A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10"/>
      <c r="T68" s="5"/>
      <c r="U68" s="5"/>
      <c r="V68" s="5"/>
      <c r="W68" s="5"/>
      <c r="X68" s="5"/>
      <c r="Y68" s="5"/>
      <c r="Z68" s="5"/>
      <c r="AA68" s="5"/>
      <c r="AB68" s="11"/>
      <c r="AC68" s="5"/>
    </row>
    <row r="69" spans="1:29" x14ac:dyDescent="0.2">
      <c r="A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10"/>
      <c r="T69" s="5"/>
      <c r="U69" s="5"/>
      <c r="V69" s="5"/>
      <c r="W69" s="5"/>
      <c r="X69" s="5"/>
      <c r="Y69" s="5"/>
      <c r="Z69" s="5"/>
      <c r="AA69" s="5"/>
      <c r="AB69" s="11"/>
      <c r="AC69" s="5"/>
    </row>
    <row r="70" spans="1:29" x14ac:dyDescent="0.2">
      <c r="A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10"/>
      <c r="T70" s="5"/>
      <c r="U70" s="5"/>
      <c r="V70" s="5"/>
      <c r="W70" s="5"/>
      <c r="X70" s="5"/>
      <c r="Y70" s="5"/>
      <c r="Z70" s="5"/>
      <c r="AA70" s="5"/>
      <c r="AB70" s="11"/>
      <c r="AC70" s="5"/>
    </row>
    <row r="71" spans="1:29" x14ac:dyDescent="0.2">
      <c r="A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10"/>
      <c r="T71" s="5"/>
      <c r="U71" s="5"/>
      <c r="V71" s="5"/>
      <c r="W71" s="5"/>
      <c r="X71" s="5"/>
      <c r="Y71" s="5"/>
      <c r="Z71" s="5"/>
      <c r="AA71" s="5"/>
      <c r="AB71" s="11"/>
      <c r="AC71" s="5"/>
    </row>
    <row r="72" spans="1:29" x14ac:dyDescent="0.2">
      <c r="A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10"/>
      <c r="T72" s="5"/>
      <c r="U72" s="5"/>
      <c r="V72" s="5"/>
      <c r="W72" s="5"/>
      <c r="X72" s="5"/>
      <c r="Y72" s="5"/>
      <c r="Z72" s="5"/>
      <c r="AA72" s="5"/>
      <c r="AB72" s="11"/>
      <c r="AC72" s="5"/>
    </row>
    <row r="73" spans="1:29" x14ac:dyDescent="0.2">
      <c r="A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10"/>
      <c r="T73" s="5"/>
      <c r="U73" s="5"/>
      <c r="V73" s="5"/>
      <c r="W73" s="5"/>
      <c r="X73" s="5"/>
      <c r="Y73" s="5"/>
      <c r="Z73" s="5"/>
      <c r="AA73" s="5"/>
      <c r="AB73" s="11"/>
      <c r="AC73" s="5"/>
    </row>
    <row r="74" spans="1:29" x14ac:dyDescent="0.2">
      <c r="A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10"/>
      <c r="T74" s="5"/>
      <c r="U74" s="5"/>
      <c r="V74" s="5"/>
      <c r="W74" s="5"/>
      <c r="X74" s="5"/>
      <c r="Y74" s="5"/>
      <c r="Z74" s="5"/>
      <c r="AA74" s="5"/>
      <c r="AB74" s="11"/>
      <c r="AC74" s="5"/>
    </row>
    <row r="75" spans="1:29" x14ac:dyDescent="0.2">
      <c r="A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10"/>
      <c r="T75" s="5"/>
      <c r="U75" s="5"/>
      <c r="V75" s="5"/>
      <c r="W75" s="5"/>
      <c r="X75" s="5"/>
      <c r="Y75" s="5"/>
      <c r="Z75" s="5"/>
      <c r="AA75" s="5"/>
      <c r="AB75" s="11"/>
      <c r="AC75" s="5"/>
    </row>
    <row r="76" spans="1:29" x14ac:dyDescent="0.2">
      <c r="A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10"/>
      <c r="T76" s="5"/>
      <c r="U76" s="5"/>
      <c r="V76" s="5"/>
      <c r="W76" s="5"/>
      <c r="X76" s="5"/>
      <c r="Y76" s="5"/>
      <c r="Z76" s="5"/>
      <c r="AA76" s="5"/>
      <c r="AB76" s="11"/>
      <c r="AC76" s="5"/>
    </row>
    <row r="77" spans="1:29" x14ac:dyDescent="0.2">
      <c r="A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10"/>
      <c r="T77" s="5"/>
      <c r="U77" s="5"/>
      <c r="V77" s="5"/>
      <c r="W77" s="5"/>
      <c r="X77" s="5"/>
      <c r="Y77" s="5"/>
      <c r="Z77" s="5"/>
      <c r="AA77" s="5"/>
      <c r="AB77" s="11"/>
      <c r="AC77" s="5"/>
    </row>
    <row r="78" spans="1:29" x14ac:dyDescent="0.2">
      <c r="A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10"/>
      <c r="T78" s="5"/>
      <c r="U78" s="5"/>
      <c r="V78" s="5"/>
      <c r="W78" s="5"/>
      <c r="X78" s="5"/>
      <c r="Y78" s="5"/>
      <c r="Z78" s="5"/>
      <c r="AA78" s="5"/>
      <c r="AB78" s="11"/>
      <c r="AC78" s="5"/>
    </row>
    <row r="79" spans="1:29" x14ac:dyDescent="0.2">
      <c r="A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10"/>
      <c r="T79" s="5"/>
      <c r="U79" s="5"/>
      <c r="V79" s="5"/>
      <c r="W79" s="5"/>
      <c r="X79" s="5"/>
      <c r="Y79" s="5"/>
      <c r="Z79" s="5"/>
      <c r="AA79" s="5"/>
      <c r="AB79" s="11"/>
      <c r="AC79" s="5"/>
    </row>
    <row r="80" spans="1:29" x14ac:dyDescent="0.2">
      <c r="A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10"/>
      <c r="T80" s="5"/>
      <c r="U80" s="5"/>
      <c r="V80" s="5"/>
      <c r="W80" s="5"/>
      <c r="X80" s="5"/>
      <c r="Y80" s="5"/>
      <c r="Z80" s="5"/>
      <c r="AA80" s="5"/>
      <c r="AB80" s="11"/>
      <c r="AC80" s="5"/>
    </row>
    <row r="81" spans="1:29" x14ac:dyDescent="0.2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AB81" s="236"/>
      <c r="AC81" s="236"/>
    </row>
    <row r="82" spans="1:29" x14ac:dyDescent="0.2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AB82" s="1"/>
      <c r="AC82" s="1"/>
    </row>
    <row r="83" spans="1:29" x14ac:dyDescent="0.2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29" x14ac:dyDescent="0.2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29" x14ac:dyDescent="0.2">
      <c r="B85" s="3"/>
    </row>
    <row r="86" spans="1:29" x14ac:dyDescent="0.2">
      <c r="A86" s="231"/>
      <c r="B86" s="231"/>
      <c r="C86" s="4"/>
      <c r="D86" s="4"/>
      <c r="E86" s="4"/>
      <c r="F86" s="4"/>
      <c r="G86" s="4"/>
      <c r="H86" s="4"/>
      <c r="I86" s="4"/>
      <c r="J86" s="4"/>
      <c r="K86" s="4"/>
      <c r="L86" s="4"/>
      <c r="AB86" s="231"/>
      <c r="AC86" s="231"/>
    </row>
  </sheetData>
  <mergeCells count="37">
    <mergeCell ref="C36:P36"/>
    <mergeCell ref="A37:A38"/>
    <mergeCell ref="B37:B38"/>
    <mergeCell ref="AC37:AC39"/>
    <mergeCell ref="C39:S39"/>
    <mergeCell ref="A7:AC7"/>
    <mergeCell ref="C10:L10"/>
    <mergeCell ref="M10:AC10"/>
    <mergeCell ref="A1:AC1"/>
    <mergeCell ref="A2:AC2"/>
    <mergeCell ref="A3:AC3"/>
    <mergeCell ref="A4:AC4"/>
    <mergeCell ref="A6:AC6"/>
    <mergeCell ref="A8:AC8"/>
    <mergeCell ref="A9:AC9"/>
    <mergeCell ref="A11:A13"/>
    <mergeCell ref="B11:B13"/>
    <mergeCell ref="C11:S12"/>
    <mergeCell ref="AC11:AC13"/>
    <mergeCell ref="C19:P19"/>
    <mergeCell ref="C14:S14"/>
    <mergeCell ref="C20:S21"/>
    <mergeCell ref="A29:A30"/>
    <mergeCell ref="B29:B30"/>
    <mergeCell ref="A86:B86"/>
    <mergeCell ref="AB86:AC86"/>
    <mergeCell ref="AC20:AC22"/>
    <mergeCell ref="C29:S29"/>
    <mergeCell ref="AB81:AC81"/>
    <mergeCell ref="C23:R23"/>
    <mergeCell ref="C28:R28"/>
    <mergeCell ref="C37:S37"/>
    <mergeCell ref="A20:A22"/>
    <mergeCell ref="B20:B22"/>
    <mergeCell ref="C45:P45"/>
    <mergeCell ref="AC29:AC31"/>
    <mergeCell ref="C31:S31"/>
  </mergeCells>
  <printOptions horizontalCentered="1"/>
  <pageMargins left="0.25" right="0.25" top="0.75" bottom="0.75" header="0.3" footer="0.3"/>
  <pageSetup paperSize="5" scale="5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8"/>
  <sheetViews>
    <sheetView showZeros="0" view="pageBreakPreview" topLeftCell="A5" zoomScaleSheetLayoutView="100" workbookViewId="0">
      <selection activeCell="C16" sqref="C16"/>
    </sheetView>
  </sheetViews>
  <sheetFormatPr defaultColWidth="9.140625" defaultRowHeight="20.100000000000001" customHeight="1" x14ac:dyDescent="0.2"/>
  <cols>
    <col min="1" max="1" width="5.85546875" style="5" customWidth="1"/>
    <col min="2" max="2" width="52.5703125" style="5" customWidth="1"/>
    <col min="3" max="3" width="28" style="5" customWidth="1"/>
    <col min="4" max="4" width="25.85546875" style="5" customWidth="1"/>
    <col min="5" max="16384" width="9.140625" style="5"/>
  </cols>
  <sheetData>
    <row r="1" spans="1:29" s="91" customFormat="1" ht="20.100000000000001" customHeight="1" x14ac:dyDescent="0.3">
      <c r="A1" s="269" t="s">
        <v>24</v>
      </c>
      <c r="B1" s="269"/>
      <c r="C1" s="269"/>
      <c r="D1" s="269"/>
    </row>
    <row r="2" spans="1:29" s="91" customFormat="1" ht="15" customHeight="1" x14ac:dyDescent="0.25">
      <c r="A2" s="270" t="s">
        <v>21</v>
      </c>
      <c r="B2" s="270"/>
      <c r="C2" s="270"/>
      <c r="D2" s="270"/>
    </row>
    <row r="3" spans="1:29" s="91" customFormat="1" ht="15" customHeight="1" x14ac:dyDescent="0.2">
      <c r="A3" s="254" t="str">
        <f>Penyelenggaraan!A3</f>
        <v>BALAI PELATIHAN VOKASI DAN PRODUKTIVITAS</v>
      </c>
      <c r="B3" s="254"/>
      <c r="C3" s="254"/>
      <c r="D3" s="254"/>
    </row>
    <row r="4" spans="1:29" s="91" customFormat="1" ht="15" customHeight="1" x14ac:dyDescent="0.2">
      <c r="A4" s="271" t="s">
        <v>22</v>
      </c>
      <c r="B4" s="271"/>
      <c r="C4" s="271"/>
      <c r="D4" s="271"/>
    </row>
    <row r="5" spans="1:29" s="91" customFormat="1" ht="20.100000000000001" customHeight="1" x14ac:dyDescent="0.2">
      <c r="A5" s="87"/>
      <c r="B5" s="88"/>
      <c r="C5" s="89"/>
      <c r="D5" s="89"/>
    </row>
    <row r="6" spans="1:29" s="91" customFormat="1" ht="20.100000000000001" customHeight="1" x14ac:dyDescent="0.25">
      <c r="A6" s="272" t="str">
        <f>'Materi Pelatihan'!$A$6:$AC$6</f>
        <v>HASIL EVALUASI</v>
      </c>
      <c r="B6" s="272"/>
      <c r="C6" s="272"/>
      <c r="D6" s="272"/>
    </row>
    <row r="7" spans="1:29" s="91" customFormat="1" ht="20.100000000000001" customHeight="1" x14ac:dyDescent="0.2">
      <c r="A7" s="266" t="str">
        <f>'Materi Pelatihan'!A7:AC7</f>
        <v>PELATIHAN KOMPETENSI BERBASIS PARIWISATA DAN INDUSTRI KREATIF</v>
      </c>
      <c r="B7" s="266"/>
      <c r="C7" s="266"/>
      <c r="D7" s="266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</row>
    <row r="8" spans="1:29" s="91" customFormat="1" ht="20.100000000000001" customHeight="1" x14ac:dyDescent="0.2">
      <c r="A8" s="248" t="str">
        <f>'Materi Pelatihan'!A8:AC8</f>
        <v xml:space="preserve">PROGRAM PELATIHAN DASAR ASISTEN PEMBUAT PAKAIAN PAKET 2
</v>
      </c>
      <c r="B8" s="248"/>
      <c r="C8" s="248"/>
      <c r="D8" s="248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</row>
    <row r="9" spans="1:29" s="91" customFormat="1" ht="20.100000000000001" customHeight="1" x14ac:dyDescent="0.2">
      <c r="A9" s="248" t="str">
        <f>'Materi Pelatihan'!A9:AC9</f>
        <v>TGL Senin 3 Agustus S.D Jumat 28 Agustus 2026</v>
      </c>
      <c r="B9" s="248"/>
      <c r="C9" s="248"/>
      <c r="D9" s="248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</row>
    <row r="10" spans="1:29" s="91" customFormat="1" ht="20.100000000000001" customHeight="1" x14ac:dyDescent="0.25">
      <c r="A10" s="265"/>
      <c r="B10" s="266"/>
      <c r="C10" s="266"/>
      <c r="D10" s="26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</row>
    <row r="11" spans="1:29" ht="20.100000000000001" customHeight="1" thickBot="1" x14ac:dyDescent="0.25">
      <c r="A11" s="43" t="s">
        <v>14</v>
      </c>
      <c r="B11" s="43" t="s">
        <v>15</v>
      </c>
      <c r="C11" s="43" t="s">
        <v>19</v>
      </c>
      <c r="D11" s="43" t="s">
        <v>20</v>
      </c>
    </row>
    <row r="12" spans="1:29" ht="24.95" customHeight="1" thickBot="1" x14ac:dyDescent="0.25">
      <c r="A12" s="44">
        <v>1</v>
      </c>
      <c r="B12" s="45" t="s">
        <v>12</v>
      </c>
      <c r="C12" s="46">
        <f>'KOLOM ISIAN'!S19</f>
        <v>4.395833333333333</v>
      </c>
      <c r="D12" s="213" t="str">
        <f>IF(C12&gt;=5,"SANGAT BAIK",IF(C12&gt;=4,"BAIK",IF(C12&gt;=3,"CUKUP",IF(C12&gt;=2,"KURANG",IF(C12&gt;=0,"TIDAK BAIK")))))</f>
        <v>BAIK</v>
      </c>
    </row>
    <row r="13" spans="1:29" ht="20.100000000000001" customHeight="1" thickBot="1" x14ac:dyDescent="0.25">
      <c r="A13" s="44">
        <v>2</v>
      </c>
      <c r="B13" s="47" t="s">
        <v>39</v>
      </c>
      <c r="C13" s="46">
        <f>'KOLOM ISIAN'!S28</f>
        <v>4.5833333333333339</v>
      </c>
      <c r="D13" s="213" t="str">
        <f t="shared" ref="D13:D15" si="0">IF(C13&gt;=5,"SANGAT BAIK",IF(C13&gt;=4,"BAIK",IF(C13&gt;=3,"CUKUP",IF(C13&gt;=2,"KURANG",IF(C13&gt;=0,"TIDAK BAIK")))))</f>
        <v>BAIK</v>
      </c>
      <c r="E13" s="13"/>
      <c r="F13" s="13" t="s">
        <v>53</v>
      </c>
      <c r="G13" s="13"/>
    </row>
    <row r="14" spans="1:29" ht="20.100000000000001" customHeight="1" thickBot="1" x14ac:dyDescent="0.25">
      <c r="A14" s="44">
        <v>3</v>
      </c>
      <c r="B14" s="47" t="s">
        <v>7</v>
      </c>
      <c r="C14" s="46">
        <f>'KOLOM ISIAN'!S36</f>
        <v>4.916666666666667</v>
      </c>
      <c r="D14" s="213" t="str">
        <f t="shared" si="0"/>
        <v>BAIK</v>
      </c>
      <c r="E14" s="13"/>
      <c r="F14" s="13"/>
      <c r="G14" s="13"/>
    </row>
    <row r="15" spans="1:29" ht="20.100000000000001" customHeight="1" thickBot="1" x14ac:dyDescent="0.25">
      <c r="A15" s="44">
        <v>4</v>
      </c>
      <c r="B15" s="47" t="s">
        <v>54</v>
      </c>
      <c r="C15" s="46">
        <f>'KOLOM ISIAN'!S45</f>
        <v>4.4833333333333325</v>
      </c>
      <c r="D15" s="213" t="str">
        <f t="shared" si="0"/>
        <v>BAIK</v>
      </c>
      <c r="E15" s="13"/>
      <c r="F15" s="13"/>
      <c r="G15" s="13"/>
    </row>
    <row r="16" spans="1:29" ht="20.100000000000001" customHeight="1" thickBot="1" x14ac:dyDescent="0.25">
      <c r="A16" s="267" t="s">
        <v>13</v>
      </c>
      <c r="B16" s="267"/>
      <c r="C16" s="170">
        <f>AVERAGE(C12:C15)</f>
        <v>4.5947916666666675</v>
      </c>
      <c r="D16" s="213" t="str">
        <f>IF(C16&gt;=5,"SANGAT BAIK",IF(C16&gt;=4,"BAIK",IF(C16&gt;=3,"CUKUP",IF(C16&gt;=2,"KURANG",IF(C16&gt;=0,"TIDAK BAIK")))))</f>
        <v>BAIK</v>
      </c>
      <c r="F16" s="13"/>
    </row>
    <row r="17" spans="1:15" s="91" customFormat="1" ht="20.100000000000001" customHeight="1" x14ac:dyDescent="0.2">
      <c r="A17" s="96"/>
      <c r="B17" s="96"/>
      <c r="C17" s="96"/>
      <c r="D17" s="96"/>
    </row>
    <row r="18" spans="1:15" s="91" customFormat="1" ht="20.100000000000001" customHeight="1" x14ac:dyDescent="0.2">
      <c r="B18" s="97"/>
    </row>
    <row r="19" spans="1:15" s="91" customFormat="1" ht="20.100000000000001" customHeight="1" x14ac:dyDescent="0.2"/>
    <row r="20" spans="1:15" s="91" customFormat="1" ht="11.25" customHeight="1" x14ac:dyDescent="0.2"/>
    <row r="21" spans="1:15" s="91" customFormat="1" ht="20.100000000000001" customHeight="1" x14ac:dyDescent="0.2"/>
    <row r="22" spans="1:15" s="91" customFormat="1" ht="20.100000000000001" customHeight="1" x14ac:dyDescent="0.2"/>
    <row r="23" spans="1:15" s="91" customFormat="1" ht="20.100000000000001" customHeight="1" x14ac:dyDescent="0.2">
      <c r="E23" s="91" t="s">
        <v>25</v>
      </c>
    </row>
    <row r="24" spans="1:15" s="91" customFormat="1" ht="20.100000000000001" customHeight="1" x14ac:dyDescent="0.2"/>
    <row r="25" spans="1:15" s="91" customFormat="1" ht="20.100000000000001" customHeight="1" x14ac:dyDescent="0.2"/>
    <row r="26" spans="1:15" s="91" customFormat="1" ht="20.100000000000001" customHeight="1" x14ac:dyDescent="0.2"/>
    <row r="27" spans="1:15" s="91" customFormat="1" ht="20.100000000000001" customHeight="1" x14ac:dyDescent="0.2"/>
    <row r="28" spans="1:15" s="91" customFormat="1" ht="20.100000000000001" customHeight="1" x14ac:dyDescent="0.2"/>
    <row r="29" spans="1:15" s="91" customFormat="1" ht="20.100000000000001" customHeight="1" x14ac:dyDescent="0.2"/>
    <row r="30" spans="1:15" s="91" customFormat="1" ht="20.100000000000001" customHeight="1" x14ac:dyDescent="0.2">
      <c r="N30" s="268"/>
      <c r="O30" s="268"/>
    </row>
    <row r="31" spans="1:15" s="91" customFormat="1" ht="20.100000000000001" customHeight="1" x14ac:dyDescent="0.2">
      <c r="N31" s="268"/>
      <c r="O31" s="268"/>
    </row>
    <row r="32" spans="1:15" s="91" customFormat="1" ht="20.100000000000001" customHeight="1" x14ac:dyDescent="0.2">
      <c r="N32" s="102"/>
      <c r="O32" s="103"/>
    </row>
    <row r="33" spans="1:15" s="91" customFormat="1" ht="20.100000000000001" customHeight="1" x14ac:dyDescent="0.2">
      <c r="A33" s="98"/>
      <c r="B33" s="99"/>
      <c r="N33" s="102"/>
      <c r="O33" s="103"/>
    </row>
    <row r="34" spans="1:15" s="91" customFormat="1" ht="20.100000000000001" customHeight="1" x14ac:dyDescent="0.2">
      <c r="A34" s="98"/>
      <c r="B34" s="99"/>
      <c r="E34" s="100"/>
      <c r="N34" s="102"/>
      <c r="O34" s="103"/>
    </row>
    <row r="35" spans="1:15" s="91" customFormat="1" ht="20.100000000000001" customHeight="1" x14ac:dyDescent="0.2">
      <c r="A35" s="98"/>
      <c r="B35" s="101"/>
      <c r="E35" s="100"/>
      <c r="N35" s="262"/>
      <c r="O35" s="262"/>
    </row>
    <row r="36" spans="1:15" s="91" customFormat="1" ht="20.100000000000001" customHeight="1" x14ac:dyDescent="0.2">
      <c r="A36" s="98"/>
      <c r="B36" s="100"/>
      <c r="E36" s="101"/>
      <c r="N36" s="263"/>
      <c r="O36" s="263"/>
    </row>
    <row r="37" spans="1:15" s="91" customFormat="1" ht="20.100000000000001" customHeight="1" x14ac:dyDescent="0.2">
      <c r="A37" s="98"/>
      <c r="B37" s="100"/>
      <c r="E37" s="101"/>
    </row>
    <row r="38" spans="1:15" s="91" customFormat="1" ht="20.100000000000001" customHeight="1" x14ac:dyDescent="0.2">
      <c r="A38" s="98"/>
      <c r="B38" s="100"/>
      <c r="E38" s="101"/>
    </row>
    <row r="39" spans="1:15" s="91" customFormat="1" ht="20.100000000000001" customHeight="1" x14ac:dyDescent="0.2">
      <c r="A39" s="98"/>
      <c r="B39" s="100"/>
      <c r="E39" s="101"/>
    </row>
    <row r="40" spans="1:15" s="91" customFormat="1" ht="20.100000000000001" customHeight="1" x14ac:dyDescent="0.2">
      <c r="A40" s="98"/>
      <c r="B40" s="100"/>
      <c r="C40" s="103"/>
      <c r="D40" s="104"/>
      <c r="E40" s="101"/>
    </row>
    <row r="41" spans="1:15" ht="20.100000000000001" customHeight="1" x14ac:dyDescent="0.2">
      <c r="A41" s="6"/>
      <c r="B41" s="6"/>
      <c r="C41" s="48"/>
      <c r="D41" s="49"/>
      <c r="E41" s="7"/>
    </row>
    <row r="42" spans="1:15" s="6" customFormat="1" ht="18" customHeight="1" x14ac:dyDescent="0.2"/>
    <row r="43" spans="1:15" s="6" customFormat="1" ht="18" customHeight="1" x14ac:dyDescent="0.2"/>
    <row r="44" spans="1:15" s="6" customFormat="1" ht="18" customHeight="1" x14ac:dyDescent="0.2"/>
    <row r="45" spans="1:15" s="6" customFormat="1" ht="18" customHeight="1" x14ac:dyDescent="0.2"/>
    <row r="46" spans="1:15" s="6" customFormat="1" ht="18" customHeight="1" x14ac:dyDescent="0.2"/>
    <row r="47" spans="1:15" s="6" customFormat="1" ht="18" customHeight="1" x14ac:dyDescent="0.2"/>
    <row r="48" spans="1:15" s="6" customFormat="1" ht="18" customHeight="1" x14ac:dyDescent="0.2">
      <c r="A48" s="5"/>
      <c r="B48" s="5"/>
      <c r="C48" s="5"/>
      <c r="D48" s="5"/>
      <c r="H48" s="264"/>
      <c r="I48" s="264"/>
      <c r="J48" s="264"/>
      <c r="K48" s="264"/>
      <c r="L48" s="264"/>
      <c r="M48" s="264"/>
    </row>
  </sheetData>
  <mergeCells count="15">
    <mergeCell ref="A1:D1"/>
    <mergeCell ref="A2:D2"/>
    <mergeCell ref="A3:D3"/>
    <mergeCell ref="A4:D4"/>
    <mergeCell ref="N31:O31"/>
    <mergeCell ref="A7:D7"/>
    <mergeCell ref="A9:D9"/>
    <mergeCell ref="A6:D6"/>
    <mergeCell ref="A8:D8"/>
    <mergeCell ref="N35:O35"/>
    <mergeCell ref="N36:O36"/>
    <mergeCell ref="H48:M48"/>
    <mergeCell ref="A10:D10"/>
    <mergeCell ref="A16:B16"/>
    <mergeCell ref="N30:O30"/>
  </mergeCells>
  <phoneticPr fontId="8" type="noConversion"/>
  <pageMargins left="0.71" right="0.35433070866141736" top="0.78740157480314965" bottom="0.55118110236220474" header="0.51181102362204722" footer="0.39370078740157483"/>
  <pageSetup paperSize="9" scale="8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59"/>
  <sheetViews>
    <sheetView showZeros="0" view="pageBreakPreview" zoomScaleNormal="90" zoomScaleSheetLayoutView="100" workbookViewId="0">
      <selection activeCell="S15" sqref="S15:S18"/>
    </sheetView>
  </sheetViews>
  <sheetFormatPr defaultRowHeight="12.75" x14ac:dyDescent="0.2"/>
  <cols>
    <col min="1" max="1" width="5.42578125" style="1" customWidth="1"/>
    <col min="2" max="2" width="75.85546875" customWidth="1"/>
    <col min="3" max="18" width="3.7109375" customWidth="1"/>
    <col min="19" max="19" width="9.140625" customWidth="1"/>
    <col min="20" max="27" width="4.5703125" hidden="1" customWidth="1"/>
    <col min="28" max="28" width="9.42578125" hidden="1" customWidth="1"/>
    <col min="29" max="29" width="13.85546875" bestFit="1" customWidth="1"/>
    <col min="31" max="31" width="9.42578125" bestFit="1" customWidth="1"/>
  </cols>
  <sheetData>
    <row r="1" spans="1:31" s="88" customFormat="1" ht="18.75" x14ac:dyDescent="0.2">
      <c r="A1" s="252" t="s">
        <v>29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</row>
    <row r="2" spans="1:31" s="88" customFormat="1" ht="17.25" x14ac:dyDescent="0.2">
      <c r="A2" s="253" t="s">
        <v>30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</row>
    <row r="3" spans="1:31" s="88" customFormat="1" ht="21" x14ac:dyDescent="0.2">
      <c r="A3" s="254" t="str">
        <f>'KOLOM ISIAN'!A3:AC3</f>
        <v>BALAI PELATIHAN VOKASI DAN PRODUKTIVITAS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</row>
    <row r="4" spans="1:31" s="88" customFormat="1" x14ac:dyDescent="0.2">
      <c r="A4" s="255" t="s">
        <v>22</v>
      </c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  <c r="AA4" s="255"/>
      <c r="AB4" s="255"/>
      <c r="AC4" s="255"/>
    </row>
    <row r="5" spans="1:31" s="88" customFormat="1" x14ac:dyDescent="0.2">
      <c r="A5" s="87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90"/>
      <c r="T5" s="91"/>
      <c r="U5" s="91"/>
      <c r="V5" s="91"/>
      <c r="W5" s="91"/>
      <c r="X5" s="91"/>
      <c r="Y5" s="91"/>
      <c r="Z5" s="91"/>
      <c r="AA5" s="91"/>
      <c r="AB5" s="92"/>
      <c r="AC5" s="91"/>
    </row>
    <row r="6" spans="1:31" s="88" customFormat="1" ht="18" x14ac:dyDescent="0.2">
      <c r="A6" s="248" t="s">
        <v>0</v>
      </c>
      <c r="B6" s="248"/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</row>
    <row r="7" spans="1:31" s="88" customFormat="1" ht="18" x14ac:dyDescent="0.2">
      <c r="A7" s="248" t="str">
        <f>'KOLOM ISIAN'!A7:AC7</f>
        <v>PELATIHAN KOMPETENSI BERBASIS PARIWISATA DAN INDUSTRI KREATIF</v>
      </c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</row>
    <row r="8" spans="1:31" s="88" customFormat="1" ht="18" x14ac:dyDescent="0.2">
      <c r="A8" s="248" t="str">
        <f>'KOLOM ISIAN'!A8:AC8</f>
        <v xml:space="preserve">PROGRAM PELATIHAN DASAR ASISTEN PEMBUAT PAKAIAN PAKET 2
</v>
      </c>
      <c r="B8" s="248"/>
      <c r="C8" s="248"/>
      <c r="D8" s="248"/>
      <c r="E8" s="248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</row>
    <row r="9" spans="1:31" s="88" customFormat="1" ht="18" x14ac:dyDescent="0.2">
      <c r="A9" s="248" t="str">
        <f>'KOLOM ISIAN'!A9:AC9</f>
        <v>TGL Senin 3 Agustus S.D Jumat 28 Agustus 2026</v>
      </c>
      <c r="B9" s="248"/>
      <c r="C9" s="248"/>
      <c r="D9" s="248"/>
      <c r="E9" s="248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</row>
    <row r="10" spans="1:31" s="88" customFormat="1" ht="21.75" customHeight="1" thickBot="1" x14ac:dyDescent="0.25">
      <c r="A10" s="273"/>
      <c r="B10" s="273"/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3"/>
      <c r="AC10" s="273"/>
    </row>
    <row r="11" spans="1:31" ht="13.5" thickBot="1" x14ac:dyDescent="0.25">
      <c r="A11" s="274" t="s">
        <v>1</v>
      </c>
      <c r="B11" s="274" t="s">
        <v>2</v>
      </c>
      <c r="C11" s="275" t="s">
        <v>23</v>
      </c>
      <c r="D11" s="276"/>
      <c r="E11" s="276"/>
      <c r="F11" s="276"/>
      <c r="G11" s="276"/>
      <c r="H11" s="276"/>
      <c r="I11" s="276"/>
      <c r="J11" s="276"/>
      <c r="K11" s="276"/>
      <c r="L11" s="276"/>
      <c r="M11" s="276"/>
      <c r="N11" s="276"/>
      <c r="O11" s="276"/>
      <c r="P11" s="276"/>
      <c r="Q11" s="276"/>
      <c r="R11" s="276"/>
      <c r="S11" s="276"/>
      <c r="T11" s="24"/>
      <c r="U11" s="24"/>
      <c r="V11" s="24"/>
      <c r="W11" s="24"/>
      <c r="X11" s="24"/>
      <c r="Y11" s="24"/>
      <c r="Z11" s="24"/>
      <c r="AA11" s="24"/>
      <c r="AB11" s="25"/>
      <c r="AC11" s="284" t="s">
        <v>28</v>
      </c>
    </row>
    <row r="12" spans="1:31" ht="13.5" thickBot="1" x14ac:dyDescent="0.25">
      <c r="A12" s="274"/>
      <c r="B12" s="274"/>
      <c r="C12" s="277"/>
      <c r="D12" s="278"/>
      <c r="E12" s="278"/>
      <c r="F12" s="278"/>
      <c r="G12" s="278"/>
      <c r="H12" s="278"/>
      <c r="I12" s="278"/>
      <c r="J12" s="278"/>
      <c r="K12" s="278"/>
      <c r="L12" s="278"/>
      <c r="M12" s="278"/>
      <c r="N12" s="278"/>
      <c r="O12" s="278"/>
      <c r="P12" s="278"/>
      <c r="Q12" s="278"/>
      <c r="R12" s="278"/>
      <c r="S12" s="278"/>
      <c r="T12" s="26"/>
      <c r="U12" s="26"/>
      <c r="V12" s="26"/>
      <c r="W12" s="26"/>
      <c r="X12" s="26"/>
      <c r="Y12" s="26"/>
      <c r="Z12" s="26"/>
      <c r="AA12" s="26"/>
      <c r="AB12" s="27"/>
      <c r="AC12" s="285"/>
    </row>
    <row r="13" spans="1:31" ht="14.25" thickTop="1" thickBot="1" x14ac:dyDescent="0.25">
      <c r="A13" s="274"/>
      <c r="B13" s="274"/>
      <c r="C13" s="28">
        <v>1</v>
      </c>
      <c r="D13" s="28">
        <v>2</v>
      </c>
      <c r="E13" s="28">
        <v>3</v>
      </c>
      <c r="F13" s="28">
        <v>4</v>
      </c>
      <c r="G13" s="28">
        <v>5</v>
      </c>
      <c r="H13" s="28">
        <v>6</v>
      </c>
      <c r="I13" s="28">
        <v>7</v>
      </c>
      <c r="J13" s="28">
        <v>8</v>
      </c>
      <c r="K13" s="28">
        <v>9</v>
      </c>
      <c r="L13" s="28">
        <v>10</v>
      </c>
      <c r="M13" s="28">
        <v>11</v>
      </c>
      <c r="N13" s="28">
        <v>12</v>
      </c>
      <c r="O13" s="28">
        <v>13</v>
      </c>
      <c r="P13" s="28">
        <v>14</v>
      </c>
      <c r="Q13" s="28">
        <v>15</v>
      </c>
      <c r="R13" s="28">
        <v>16</v>
      </c>
      <c r="S13" s="28" t="s">
        <v>4</v>
      </c>
      <c r="T13" s="29">
        <v>22</v>
      </c>
      <c r="U13" s="30">
        <v>23</v>
      </c>
      <c r="V13" s="30">
        <v>24</v>
      </c>
      <c r="W13" s="30">
        <v>25</v>
      </c>
      <c r="X13" s="30">
        <v>26</v>
      </c>
      <c r="Y13" s="30">
        <v>27</v>
      </c>
      <c r="Z13" s="30">
        <v>28</v>
      </c>
      <c r="AA13" s="30">
        <v>29</v>
      </c>
      <c r="AB13" s="31" t="s">
        <v>5</v>
      </c>
      <c r="AC13" s="286"/>
    </row>
    <row r="14" spans="1:31" s="88" customFormat="1" ht="18" customHeight="1" x14ac:dyDescent="0.2">
      <c r="A14" s="109" t="s">
        <v>8</v>
      </c>
      <c r="B14" s="188" t="s">
        <v>12</v>
      </c>
      <c r="C14" s="282"/>
      <c r="D14" s="282"/>
      <c r="E14" s="282"/>
      <c r="F14" s="282"/>
      <c r="G14" s="282"/>
      <c r="H14" s="282"/>
      <c r="I14" s="282"/>
      <c r="J14" s="282"/>
      <c r="K14" s="282"/>
      <c r="L14" s="282"/>
      <c r="M14" s="282"/>
      <c r="N14" s="282"/>
      <c r="O14" s="282"/>
      <c r="P14" s="282"/>
      <c r="Q14" s="282"/>
      <c r="R14" s="283"/>
      <c r="S14" s="189"/>
      <c r="T14" s="110"/>
      <c r="U14" s="110"/>
      <c r="V14" s="110"/>
      <c r="W14" s="110"/>
      <c r="X14" s="110"/>
      <c r="Y14" s="110"/>
      <c r="Z14" s="110"/>
      <c r="AA14" s="110"/>
      <c r="AB14" s="111"/>
      <c r="AC14" s="112"/>
      <c r="AE14" s="113"/>
    </row>
    <row r="15" spans="1:31" s="88" customFormat="1" ht="20.25" customHeight="1" x14ac:dyDescent="0.2">
      <c r="A15" s="119">
        <v>1</v>
      </c>
      <c r="B15" s="180" t="s">
        <v>35</v>
      </c>
      <c r="C15" s="184">
        <f>'KOLOM ISIAN'!C15</f>
        <v>5</v>
      </c>
      <c r="D15" s="184">
        <f>'KOLOM ISIAN'!D15</f>
        <v>5</v>
      </c>
      <c r="E15" s="184">
        <f>'KOLOM ISIAN'!E15</f>
        <v>5</v>
      </c>
      <c r="F15" s="184">
        <f>'KOLOM ISIAN'!F15</f>
        <v>5</v>
      </c>
      <c r="G15" s="184">
        <f>'KOLOM ISIAN'!G15</f>
        <v>4</v>
      </c>
      <c r="H15" s="184">
        <f>'KOLOM ISIAN'!H15</f>
        <v>4</v>
      </c>
      <c r="I15" s="184">
        <f>'KOLOM ISIAN'!I15</f>
        <v>4</v>
      </c>
      <c r="J15" s="184">
        <f>'KOLOM ISIAN'!J15</f>
        <v>4</v>
      </c>
      <c r="K15" s="184">
        <f>'KOLOM ISIAN'!K15</f>
        <v>5</v>
      </c>
      <c r="L15" s="184">
        <f>'KOLOM ISIAN'!L15</f>
        <v>5</v>
      </c>
      <c r="M15" s="184">
        <f>'KOLOM ISIAN'!M15</f>
        <v>3</v>
      </c>
      <c r="N15" s="184">
        <f>'KOLOM ISIAN'!N15</f>
        <v>4</v>
      </c>
      <c r="O15" s="184">
        <f>'KOLOM ISIAN'!O15</f>
        <v>0</v>
      </c>
      <c r="P15" s="184">
        <f>'KOLOM ISIAN'!P15</f>
        <v>0</v>
      </c>
      <c r="Q15" s="184">
        <f>'KOLOM ISIAN'!Q15</f>
        <v>0</v>
      </c>
      <c r="R15" s="184">
        <f>'KOLOM ISIAN'!R15</f>
        <v>0</v>
      </c>
      <c r="S15" s="182">
        <f>SUM(C15:R15)/12</f>
        <v>4.416666666666667</v>
      </c>
      <c r="T15" s="114"/>
      <c r="U15" s="114"/>
      <c r="V15" s="114"/>
      <c r="W15" s="114"/>
      <c r="X15" s="114"/>
      <c r="Y15" s="114"/>
      <c r="Z15" s="114"/>
      <c r="AA15" s="114"/>
      <c r="AB15" s="115">
        <f>SUM(M15:AA15)</f>
        <v>11.416666666666668</v>
      </c>
      <c r="AC15" s="116" t="str">
        <f>IF(S15&gt;=5,"SANGAT BAIK",IF(S15&gt;=4,"BAIK",IF(S15&gt;=3,"CUKUP",IF(S15&gt;=2,"KURANG",IF(S15&gt;=0,"TIDAK BAIK")))))</f>
        <v>BAIK</v>
      </c>
      <c r="AE15" s="113"/>
    </row>
    <row r="16" spans="1:31" s="88" customFormat="1" ht="20.25" customHeight="1" x14ac:dyDescent="0.2">
      <c r="A16" s="119">
        <v>2</v>
      </c>
      <c r="B16" s="180" t="s">
        <v>36</v>
      </c>
      <c r="C16" s="202">
        <f>'KOLOM ISIAN'!C16:R16</f>
        <v>3</v>
      </c>
      <c r="D16" s="202">
        <f>'KOLOM ISIAN'!D16:S16</f>
        <v>5</v>
      </c>
      <c r="E16" s="202">
        <f>'KOLOM ISIAN'!E16:T16</f>
        <v>5</v>
      </c>
      <c r="F16" s="202">
        <f>'KOLOM ISIAN'!F16:U16</f>
        <v>5</v>
      </c>
      <c r="G16" s="202">
        <f>'KOLOM ISIAN'!G16:V16</f>
        <v>4</v>
      </c>
      <c r="H16" s="202">
        <f>'KOLOM ISIAN'!H16:W16</f>
        <v>5</v>
      </c>
      <c r="I16" s="202">
        <f>'KOLOM ISIAN'!I16:X16</f>
        <v>4</v>
      </c>
      <c r="J16" s="202">
        <f>'KOLOM ISIAN'!J16:Y16</f>
        <v>4</v>
      </c>
      <c r="K16" s="202">
        <f>'KOLOM ISIAN'!K16:Z16</f>
        <v>2</v>
      </c>
      <c r="L16" s="202">
        <f>'KOLOM ISIAN'!L16:AA16</f>
        <v>5</v>
      </c>
      <c r="M16" s="202">
        <f>'KOLOM ISIAN'!M16:AB16</f>
        <v>4</v>
      </c>
      <c r="N16" s="202">
        <f>'KOLOM ISIAN'!N16:AC16</f>
        <v>4</v>
      </c>
      <c r="O16" s="202">
        <f>'KOLOM ISIAN'!O16:AD16</f>
        <v>0</v>
      </c>
      <c r="P16" s="183">
        <f>'KOLOM ISIAN'!P16:AE16</f>
        <v>0</v>
      </c>
      <c r="Q16" s="183">
        <f>'KOLOM ISIAN'!Q16:AF16</f>
        <v>0</v>
      </c>
      <c r="R16" s="183">
        <f>'KOLOM ISIAN'!R16:AG16</f>
        <v>0</v>
      </c>
      <c r="S16" s="182">
        <f t="shared" ref="S16:S18" si="0">SUM(C16:R16)/12</f>
        <v>4.166666666666667</v>
      </c>
      <c r="T16" s="114"/>
      <c r="U16" s="114"/>
      <c r="V16" s="114"/>
      <c r="W16" s="114"/>
      <c r="X16" s="114"/>
      <c r="Y16" s="114"/>
      <c r="Z16" s="114"/>
      <c r="AA16" s="114"/>
      <c r="AB16" s="115">
        <f>SUM(M16:AA16)</f>
        <v>12.166666666666668</v>
      </c>
      <c r="AC16" s="116" t="str">
        <f t="shared" ref="AC16:AC18" si="1">IF(S16&gt;=5,"SANGAT BAIK",IF(S16&gt;=4,"BAIK",IF(S16&gt;=3,"CUKUP",IF(S16&gt;=2,"KURANG",IF(S16&gt;=0,"TIDAK BAIK")))))</f>
        <v>BAIK</v>
      </c>
      <c r="AE16" s="113"/>
    </row>
    <row r="17" spans="1:31" s="88" customFormat="1" ht="20.25" customHeight="1" x14ac:dyDescent="0.2">
      <c r="A17" s="119">
        <v>3</v>
      </c>
      <c r="B17" s="181" t="s">
        <v>59</v>
      </c>
      <c r="C17" s="214">
        <f>'KOLOM ISIAN'!C17</f>
        <v>3</v>
      </c>
      <c r="D17" s="214">
        <f>'KOLOM ISIAN'!D17</f>
        <v>5</v>
      </c>
      <c r="E17" s="214">
        <f>'KOLOM ISIAN'!E17</f>
        <v>5</v>
      </c>
      <c r="F17" s="214">
        <f>'KOLOM ISIAN'!F17</f>
        <v>5</v>
      </c>
      <c r="G17" s="214">
        <f>'KOLOM ISIAN'!G17</f>
        <v>5</v>
      </c>
      <c r="H17" s="214">
        <f>'KOLOM ISIAN'!H17</f>
        <v>4</v>
      </c>
      <c r="I17" s="214">
        <f>'KOLOM ISIAN'!I17</f>
        <v>4</v>
      </c>
      <c r="J17" s="214">
        <f>'KOLOM ISIAN'!J17</f>
        <v>4</v>
      </c>
      <c r="K17" s="214">
        <f>'KOLOM ISIAN'!K17</f>
        <v>4</v>
      </c>
      <c r="L17" s="214">
        <f>'KOLOM ISIAN'!L17</f>
        <v>5</v>
      </c>
      <c r="M17" s="205">
        <f>'KOLOM ISIAN'!M17</f>
        <v>5</v>
      </c>
      <c r="N17" s="214">
        <f>'KOLOM ISIAN'!N17</f>
        <v>4</v>
      </c>
      <c r="O17" s="205">
        <f>'KOLOM ISIAN'!O17</f>
        <v>0</v>
      </c>
      <c r="P17" s="201">
        <f>'KOLOM ISIAN'!P17:AE17</f>
        <v>0</v>
      </c>
      <c r="Q17" s="183">
        <f>'KOLOM ISIAN'!Q17:AF17</f>
        <v>0</v>
      </c>
      <c r="R17" s="183">
        <f>'KOLOM ISIAN'!R17:AG17</f>
        <v>0</v>
      </c>
      <c r="S17" s="182">
        <f t="shared" si="0"/>
        <v>4.416666666666667</v>
      </c>
      <c r="T17" s="114"/>
      <c r="U17" s="114"/>
      <c r="V17" s="114"/>
      <c r="W17" s="114"/>
      <c r="X17" s="114"/>
      <c r="Y17" s="114"/>
      <c r="Z17" s="114"/>
      <c r="AA17" s="114"/>
      <c r="AB17" s="115">
        <f>SUM(M17:AA17)</f>
        <v>13.416666666666668</v>
      </c>
      <c r="AC17" s="116" t="str">
        <f t="shared" ref="AC17" si="2">IF(S17&gt;=5,"SANGAT BAIK",IF(S17&gt;=4,"BAIK",IF(S17&gt;=3,"CUKUP",IF(S17&gt;=2,"KURANG",IF(S17&gt;=0,"TIDAK BAIK")))))</f>
        <v>BAIK</v>
      </c>
      <c r="AE17" s="113"/>
    </row>
    <row r="18" spans="1:31" s="88" customFormat="1" ht="20.25" customHeight="1" thickBot="1" x14ac:dyDescent="0.25">
      <c r="A18" s="119">
        <v>4</v>
      </c>
      <c r="B18" s="181" t="s">
        <v>38</v>
      </c>
      <c r="C18" s="215">
        <f>'KOLOM ISIAN'!C18</f>
        <v>5</v>
      </c>
      <c r="D18" s="215">
        <f>'KOLOM ISIAN'!D18</f>
        <v>5</v>
      </c>
      <c r="E18" s="215">
        <f>'KOLOM ISIAN'!E18</f>
        <v>3</v>
      </c>
      <c r="F18" s="215">
        <f>'KOLOM ISIAN'!F18</f>
        <v>4</v>
      </c>
      <c r="G18" s="215">
        <f>'KOLOM ISIAN'!G18</f>
        <v>5</v>
      </c>
      <c r="H18" s="215">
        <f>'KOLOM ISIAN'!H18</f>
        <v>5</v>
      </c>
      <c r="I18" s="215">
        <f>'KOLOM ISIAN'!I18</f>
        <v>5</v>
      </c>
      <c r="J18" s="215">
        <f>'KOLOM ISIAN'!J18</f>
        <v>3</v>
      </c>
      <c r="K18" s="215">
        <f>'KOLOM ISIAN'!K18</f>
        <v>5</v>
      </c>
      <c r="L18" s="215">
        <f>'KOLOM ISIAN'!L18</f>
        <v>5</v>
      </c>
      <c r="M18" s="203">
        <f>'KOLOM ISIAN'!M18</f>
        <v>5</v>
      </c>
      <c r="N18" s="215">
        <f>'KOLOM ISIAN'!N18</f>
        <v>5</v>
      </c>
      <c r="O18" s="203">
        <f>'KOLOM ISIAN'!O18</f>
        <v>0</v>
      </c>
      <c r="P18" s="204">
        <f>'KOLOM ISIAN'!P18:AE18</f>
        <v>0</v>
      </c>
      <c r="Q18" s="187">
        <f>'KOLOM ISIAN'!Q18:AF18</f>
        <v>0</v>
      </c>
      <c r="R18" s="187">
        <f>'KOLOM ISIAN'!R18:AG18</f>
        <v>0</v>
      </c>
      <c r="S18" s="182">
        <f t="shared" si="0"/>
        <v>4.583333333333333</v>
      </c>
      <c r="T18" s="114"/>
      <c r="U18" s="114"/>
      <c r="V18" s="114"/>
      <c r="W18" s="114"/>
      <c r="X18" s="114"/>
      <c r="Y18" s="114"/>
      <c r="Z18" s="114"/>
      <c r="AA18" s="114"/>
      <c r="AB18" s="115">
        <f>SUM(M18:AA18)</f>
        <v>14.583333333333332</v>
      </c>
      <c r="AC18" s="116" t="str">
        <f t="shared" si="1"/>
        <v>BAIK</v>
      </c>
      <c r="AE18" s="113"/>
    </row>
    <row r="19" spans="1:31" ht="15" customHeight="1" thickBot="1" x14ac:dyDescent="0.25">
      <c r="A19" s="21"/>
      <c r="B19" s="57"/>
      <c r="C19" s="279" t="s">
        <v>4</v>
      </c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1"/>
      <c r="S19" s="18">
        <f>AVERAGE(S15:S18)</f>
        <v>4.395833333333333</v>
      </c>
      <c r="T19" s="19"/>
      <c r="U19" s="19"/>
      <c r="V19" s="19"/>
      <c r="W19" s="19"/>
      <c r="X19" s="19"/>
      <c r="Y19" s="19"/>
      <c r="Z19" s="19"/>
      <c r="AA19" s="19"/>
      <c r="AB19" s="20"/>
      <c r="AC19" s="18" t="str">
        <f>IF(S19&gt;=5,"SANGAT BAIK",IF(S19&gt;=4,"BAIK",IF(S19&gt;=3,"CUKUP",IF(S19&gt;=2,"KURANG",IF(S19&gt;=0,"TIDAK BAIK")))))</f>
        <v>BAIK</v>
      </c>
    </row>
    <row r="20" spans="1:31" s="88" customFormat="1" x14ac:dyDescent="0.2">
      <c r="A20" s="87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90"/>
      <c r="T20" s="91"/>
      <c r="U20" s="91"/>
      <c r="V20" s="91"/>
      <c r="W20" s="91"/>
      <c r="X20" s="91"/>
      <c r="Y20" s="91"/>
      <c r="Z20" s="91"/>
      <c r="AA20" s="91"/>
      <c r="AB20" s="92"/>
      <c r="AC20" s="91"/>
    </row>
    <row r="21" spans="1:31" s="88" customFormat="1" x14ac:dyDescent="0.2">
      <c r="A21" s="87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90"/>
      <c r="T21" s="91"/>
      <c r="U21" s="91"/>
      <c r="V21" s="91"/>
      <c r="W21" s="91"/>
      <c r="X21" s="91"/>
      <c r="Y21" s="91"/>
      <c r="Z21" s="91"/>
      <c r="AA21" s="91"/>
      <c r="AB21" s="92"/>
      <c r="AC21" s="91"/>
    </row>
    <row r="22" spans="1:31" s="88" customFormat="1" x14ac:dyDescent="0.2">
      <c r="A22" s="87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90"/>
      <c r="T22" s="91"/>
      <c r="U22" s="91"/>
      <c r="V22" s="91"/>
      <c r="W22" s="91"/>
      <c r="X22" s="91"/>
      <c r="Y22" s="91"/>
      <c r="Z22" s="91"/>
      <c r="AA22" s="91"/>
      <c r="AB22" s="92"/>
      <c r="AC22" s="91"/>
    </row>
    <row r="23" spans="1:31" s="88" customFormat="1" x14ac:dyDescent="0.2">
      <c r="A23" s="87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90"/>
      <c r="T23" s="91"/>
      <c r="U23" s="91"/>
      <c r="V23" s="91"/>
      <c r="W23" s="91"/>
      <c r="X23" s="91"/>
      <c r="Y23" s="91"/>
      <c r="Z23" s="91"/>
      <c r="AA23" s="91"/>
      <c r="AB23" s="92"/>
      <c r="AC23" s="91"/>
    </row>
    <row r="24" spans="1:31" s="88" customFormat="1" x14ac:dyDescent="0.2">
      <c r="A24" s="87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90"/>
      <c r="T24" s="91"/>
      <c r="U24" s="91"/>
      <c r="V24" s="91"/>
      <c r="W24" s="91"/>
      <c r="X24" s="91"/>
      <c r="Y24" s="91"/>
      <c r="Z24" s="91"/>
      <c r="AA24" s="91"/>
      <c r="AB24" s="92"/>
      <c r="AC24" s="91"/>
    </row>
    <row r="25" spans="1:31" s="88" customFormat="1" x14ac:dyDescent="0.2">
      <c r="A25" s="87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90"/>
      <c r="T25" s="91"/>
      <c r="U25" s="91"/>
      <c r="V25" s="91"/>
      <c r="W25" s="91"/>
      <c r="X25" s="91"/>
      <c r="Y25" s="91"/>
      <c r="Z25" s="91"/>
      <c r="AA25" s="91"/>
      <c r="AB25" s="92"/>
      <c r="AC25" s="91"/>
    </row>
    <row r="26" spans="1:31" s="88" customFormat="1" x14ac:dyDescent="0.2">
      <c r="A26" s="87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/>
      <c r="O26" s="89"/>
      <c r="P26" s="89"/>
      <c r="Q26" s="89"/>
      <c r="R26" s="89"/>
      <c r="S26" s="90"/>
      <c r="T26" s="91"/>
      <c r="U26" s="91"/>
      <c r="V26" s="91"/>
      <c r="W26" s="91"/>
      <c r="X26" s="91"/>
      <c r="Y26" s="91"/>
      <c r="Z26" s="91"/>
      <c r="AA26" s="91"/>
      <c r="AB26" s="92"/>
      <c r="AC26" s="91"/>
    </row>
    <row r="27" spans="1:31" s="88" customFormat="1" x14ac:dyDescent="0.2">
      <c r="A27" s="87"/>
      <c r="B27" s="218" t="s">
        <v>65</v>
      </c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/>
      <c r="O27" s="89"/>
      <c r="P27" s="89"/>
      <c r="Q27" s="89"/>
      <c r="R27" s="89"/>
      <c r="S27" s="90"/>
      <c r="T27" s="91"/>
      <c r="U27" s="91"/>
      <c r="V27" s="91"/>
      <c r="W27" s="91"/>
      <c r="X27" s="91"/>
      <c r="Y27" s="91"/>
      <c r="Z27" s="91"/>
      <c r="AA27" s="91"/>
      <c r="AB27" s="92"/>
      <c r="AC27" s="91"/>
    </row>
    <row r="28" spans="1:31" s="88" customFormat="1" x14ac:dyDescent="0.2">
      <c r="A28" s="87"/>
      <c r="B28" t="str">
        <f>"responden evaluasi "&amp; COUNTA('KOLOM ISIAN'!$C$15:$R$15)&amp; " orang"</f>
        <v>responden evaluasi 12 orang</v>
      </c>
      <c r="C28" s="89"/>
      <c r="D28" s="89"/>
      <c r="E28" s="89"/>
      <c r="F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90"/>
      <c r="T28" s="91"/>
      <c r="U28" s="91"/>
      <c r="V28" s="91"/>
      <c r="W28" s="91"/>
      <c r="X28" s="91"/>
      <c r="Y28" s="91"/>
      <c r="Z28" s="91"/>
      <c r="AA28" s="91"/>
      <c r="AB28" s="92"/>
      <c r="AC28" s="91"/>
    </row>
    <row r="29" spans="1:31" s="88" customFormat="1" x14ac:dyDescent="0.2">
      <c r="A29" s="87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90"/>
      <c r="T29" s="91"/>
      <c r="U29" s="91"/>
      <c r="V29" s="91"/>
      <c r="W29" s="91"/>
      <c r="X29" s="91"/>
      <c r="Y29" s="91"/>
      <c r="Z29" s="91"/>
      <c r="AA29" s="91"/>
      <c r="AB29" s="92"/>
      <c r="AC29" s="91"/>
    </row>
    <row r="30" spans="1:31" s="88" customFormat="1" x14ac:dyDescent="0.2">
      <c r="A30" s="87"/>
      <c r="C30" s="89"/>
      <c r="D30" s="89"/>
      <c r="E30" s="89"/>
      <c r="F30" s="89"/>
      <c r="G30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90"/>
      <c r="T30" s="91"/>
      <c r="U30" s="91"/>
      <c r="V30" s="91"/>
      <c r="W30" s="91"/>
      <c r="X30" s="91"/>
      <c r="Y30" s="91"/>
      <c r="Z30" s="91"/>
      <c r="AA30" s="91"/>
      <c r="AB30" s="92"/>
      <c r="AC30" s="91"/>
    </row>
    <row r="31" spans="1:31" s="88" customFormat="1" x14ac:dyDescent="0.2">
      <c r="A31" s="87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90"/>
      <c r="T31" s="91"/>
      <c r="U31" s="91"/>
      <c r="V31" s="91"/>
      <c r="W31" s="91"/>
      <c r="X31" s="91"/>
      <c r="Y31" s="91"/>
      <c r="Z31" s="91"/>
      <c r="AA31" s="91"/>
      <c r="AB31" s="92"/>
      <c r="AC31" s="91"/>
    </row>
    <row r="32" spans="1:31" s="88" customFormat="1" x14ac:dyDescent="0.2">
      <c r="A32" s="87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90"/>
      <c r="T32" s="91"/>
      <c r="U32" s="91"/>
      <c r="V32" s="91"/>
      <c r="W32" s="91"/>
      <c r="X32" s="91"/>
      <c r="Y32" s="91"/>
      <c r="Z32" s="91"/>
      <c r="AA32" s="91"/>
      <c r="AB32" s="92"/>
      <c r="AC32" s="91"/>
    </row>
    <row r="33" spans="1:29" x14ac:dyDescent="0.2">
      <c r="A33" s="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10"/>
      <c r="T33" s="5"/>
      <c r="U33" s="5"/>
      <c r="V33" s="5"/>
      <c r="W33" s="5"/>
      <c r="X33" s="5"/>
      <c r="Y33" s="5"/>
      <c r="Z33" s="5"/>
      <c r="AA33" s="5"/>
      <c r="AB33" s="11"/>
      <c r="AC33" s="5"/>
    </row>
    <row r="34" spans="1:29" x14ac:dyDescent="0.2">
      <c r="A34" s="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10"/>
      <c r="T34" s="5"/>
      <c r="U34" s="5"/>
      <c r="V34" s="5"/>
      <c r="W34" s="5"/>
      <c r="X34" s="5"/>
      <c r="Y34" s="5"/>
      <c r="Z34" s="5"/>
      <c r="AA34" s="5"/>
      <c r="AB34" s="11"/>
      <c r="AC34" s="5"/>
    </row>
    <row r="35" spans="1:29" x14ac:dyDescent="0.2">
      <c r="A35" s="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10"/>
      <c r="T35" s="5"/>
      <c r="U35" s="5"/>
      <c r="V35" s="5"/>
      <c r="W35" s="5"/>
      <c r="X35" s="5"/>
      <c r="Y35" s="5"/>
      <c r="Z35" s="5"/>
      <c r="AA35" s="5"/>
      <c r="AB35" s="11"/>
      <c r="AC35" s="5"/>
    </row>
    <row r="36" spans="1:29" x14ac:dyDescent="0.2">
      <c r="A36" s="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10"/>
      <c r="T36" s="5"/>
      <c r="U36" s="5"/>
      <c r="V36" s="5"/>
      <c r="W36" s="5"/>
      <c r="X36" s="5"/>
      <c r="Y36" s="5"/>
      <c r="Z36" s="5"/>
      <c r="AA36" s="5"/>
      <c r="AB36" s="11"/>
      <c r="AC36" s="5"/>
    </row>
    <row r="37" spans="1:29" x14ac:dyDescent="0.2">
      <c r="A37" s="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10"/>
      <c r="T37" s="5"/>
      <c r="U37" s="5"/>
      <c r="V37" s="5"/>
      <c r="W37" s="5"/>
      <c r="X37" s="5"/>
      <c r="Y37" s="5"/>
      <c r="Z37" s="5"/>
      <c r="AA37" s="5"/>
      <c r="AB37" s="11"/>
      <c r="AC37" s="5"/>
    </row>
    <row r="38" spans="1:29" x14ac:dyDescent="0.2">
      <c r="A38" s="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10"/>
      <c r="T38" s="5"/>
      <c r="U38" s="5"/>
      <c r="V38" s="5"/>
      <c r="W38" s="5"/>
      <c r="X38" s="5"/>
      <c r="Y38" s="5"/>
      <c r="Z38" s="5"/>
      <c r="AA38" s="5"/>
      <c r="AB38" s="11"/>
      <c r="AC38" s="5"/>
    </row>
    <row r="39" spans="1:29" x14ac:dyDescent="0.2">
      <c r="A39" s="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10"/>
      <c r="T39" s="5"/>
      <c r="U39" s="5"/>
      <c r="V39" s="5"/>
      <c r="W39" s="5"/>
      <c r="X39" s="5"/>
      <c r="Y39" s="5"/>
      <c r="Z39" s="5"/>
      <c r="AA39" s="5"/>
      <c r="AB39" s="11"/>
      <c r="AC39" s="5"/>
    </row>
    <row r="40" spans="1:29" x14ac:dyDescent="0.2">
      <c r="A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10"/>
      <c r="T40" s="5"/>
      <c r="U40" s="5"/>
      <c r="V40" s="5"/>
      <c r="W40" s="5"/>
      <c r="X40" s="5"/>
      <c r="Y40" s="5"/>
      <c r="Z40" s="5"/>
      <c r="AA40" s="5"/>
      <c r="AB40" s="11"/>
      <c r="AC40" s="5"/>
    </row>
    <row r="41" spans="1:29" x14ac:dyDescent="0.2">
      <c r="A41" s="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10"/>
      <c r="T41" s="5"/>
      <c r="U41" s="5"/>
      <c r="V41" s="5"/>
      <c r="W41" s="5"/>
      <c r="X41" s="5"/>
      <c r="Y41" s="5"/>
      <c r="Z41" s="5"/>
      <c r="AA41" s="5"/>
      <c r="AB41" s="11"/>
      <c r="AC41" s="5"/>
    </row>
    <row r="42" spans="1:29" x14ac:dyDescent="0.2">
      <c r="A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10"/>
      <c r="T42" s="5"/>
      <c r="U42" s="5"/>
      <c r="V42" s="5"/>
      <c r="W42" s="5"/>
      <c r="X42" s="5"/>
      <c r="Y42" s="5"/>
      <c r="Z42" s="5"/>
      <c r="AA42" s="5"/>
      <c r="AB42" s="11"/>
      <c r="AC42" s="5"/>
    </row>
    <row r="43" spans="1:29" x14ac:dyDescent="0.2">
      <c r="A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10"/>
      <c r="T43" s="5"/>
      <c r="U43" s="5"/>
      <c r="V43" s="5"/>
      <c r="W43" s="5"/>
      <c r="X43" s="5"/>
      <c r="Y43" s="5"/>
      <c r="Z43" s="5"/>
      <c r="AA43" s="5"/>
      <c r="AB43" s="11"/>
      <c r="AC43" s="5"/>
    </row>
    <row r="44" spans="1:29" x14ac:dyDescent="0.2">
      <c r="A44" s="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10"/>
      <c r="T44" s="5"/>
      <c r="U44" s="5"/>
      <c r="V44" s="5"/>
      <c r="W44" s="5"/>
      <c r="X44" s="5"/>
      <c r="Y44" s="5"/>
      <c r="Z44" s="5"/>
      <c r="AA44" s="5"/>
      <c r="AB44" s="11"/>
      <c r="AC44" s="5"/>
    </row>
    <row r="45" spans="1:29" x14ac:dyDescent="0.2">
      <c r="A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10"/>
      <c r="T45" s="5"/>
      <c r="U45" s="5"/>
      <c r="V45" s="5"/>
      <c r="W45" s="5"/>
      <c r="X45" s="5"/>
      <c r="Y45" s="5"/>
      <c r="Z45" s="5"/>
      <c r="AA45" s="5"/>
      <c r="AB45" s="11"/>
      <c r="AC45" s="5"/>
    </row>
    <row r="46" spans="1:29" x14ac:dyDescent="0.2">
      <c r="A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10"/>
      <c r="T46" s="5"/>
      <c r="U46" s="5"/>
      <c r="V46" s="5"/>
      <c r="W46" s="5"/>
      <c r="X46" s="5"/>
      <c r="Y46" s="5"/>
      <c r="Z46" s="5"/>
      <c r="AA46" s="5"/>
      <c r="AB46" s="11"/>
      <c r="AC46" s="5"/>
    </row>
    <row r="47" spans="1:29" x14ac:dyDescent="0.2">
      <c r="A47" s="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10"/>
      <c r="T47" s="5"/>
      <c r="U47" s="5"/>
      <c r="V47" s="5"/>
      <c r="W47" s="5"/>
      <c r="X47" s="5"/>
      <c r="Y47" s="5"/>
      <c r="Z47" s="5"/>
      <c r="AA47" s="5"/>
      <c r="AB47" s="11"/>
      <c r="AC47" s="5"/>
    </row>
    <row r="48" spans="1:29" x14ac:dyDescent="0.2">
      <c r="A48" s="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10"/>
      <c r="T48" s="5"/>
      <c r="U48" s="5"/>
      <c r="V48" s="5"/>
      <c r="W48" s="5"/>
      <c r="X48" s="5"/>
      <c r="Y48" s="5"/>
      <c r="Z48" s="5"/>
      <c r="AA48" s="5"/>
      <c r="AB48" s="11"/>
      <c r="AC48" s="5"/>
    </row>
    <row r="49" spans="1:29" x14ac:dyDescent="0.2">
      <c r="A49" s="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10"/>
      <c r="T49" s="5"/>
      <c r="U49" s="5"/>
      <c r="V49" s="5"/>
      <c r="W49" s="5"/>
      <c r="X49" s="5"/>
      <c r="Y49" s="5"/>
      <c r="Z49" s="5"/>
      <c r="AA49" s="5"/>
      <c r="AB49" s="11"/>
      <c r="AC49" s="5"/>
    </row>
    <row r="50" spans="1:29" x14ac:dyDescent="0.2">
      <c r="A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10"/>
      <c r="T50" s="5"/>
      <c r="U50" s="5"/>
      <c r="V50" s="5"/>
      <c r="W50" s="5"/>
      <c r="X50" s="5"/>
      <c r="Y50" s="5"/>
      <c r="Z50" s="5"/>
      <c r="AA50" s="5"/>
      <c r="AB50" s="11"/>
      <c r="AC50" s="5"/>
    </row>
    <row r="51" spans="1:29" x14ac:dyDescent="0.2">
      <c r="A51" s="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10"/>
      <c r="T51" s="5"/>
      <c r="U51" s="5"/>
      <c r="V51" s="5"/>
      <c r="W51" s="5"/>
      <c r="X51" s="5"/>
      <c r="Y51" s="5"/>
      <c r="Z51" s="5"/>
      <c r="AA51" s="5"/>
      <c r="AB51" s="11"/>
      <c r="AC51" s="5"/>
    </row>
    <row r="52" spans="1:29" x14ac:dyDescent="0.2">
      <c r="A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10"/>
      <c r="T52" s="5"/>
      <c r="U52" s="5"/>
      <c r="V52" s="5"/>
      <c r="W52" s="5"/>
      <c r="X52" s="5"/>
      <c r="Y52" s="5"/>
      <c r="Z52" s="5"/>
      <c r="AA52" s="5"/>
      <c r="AB52" s="11"/>
      <c r="AC52" s="5"/>
    </row>
    <row r="53" spans="1:29" x14ac:dyDescent="0.2">
      <c r="A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10"/>
      <c r="T53" s="5"/>
      <c r="U53" s="5"/>
      <c r="V53" s="5"/>
      <c r="W53" s="5"/>
      <c r="X53" s="5"/>
      <c r="Y53" s="5"/>
      <c r="Z53" s="5"/>
      <c r="AA53" s="5"/>
      <c r="AB53" s="11"/>
      <c r="AC53" s="5"/>
    </row>
    <row r="54" spans="1:29" x14ac:dyDescent="0.2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AB54" s="236"/>
      <c r="AC54" s="236"/>
    </row>
    <row r="55" spans="1:29" x14ac:dyDescent="0.2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AB55" s="1"/>
      <c r="AC55" s="1"/>
    </row>
    <row r="56" spans="1:29" x14ac:dyDescent="0.2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29" x14ac:dyDescent="0.2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29" x14ac:dyDescent="0.2">
      <c r="B58" s="3"/>
    </row>
    <row r="59" spans="1:29" x14ac:dyDescent="0.2">
      <c r="A59" s="231"/>
      <c r="B59" s="231"/>
      <c r="C59" s="4"/>
      <c r="D59" s="4"/>
      <c r="E59" s="4"/>
      <c r="F59" s="4"/>
      <c r="G59" s="4"/>
      <c r="H59" s="4"/>
      <c r="I59" s="4"/>
      <c r="J59" s="4"/>
      <c r="K59" s="4"/>
      <c r="L59" s="4"/>
      <c r="AB59" s="231"/>
      <c r="AC59" s="231"/>
    </row>
  </sheetData>
  <mergeCells count="18">
    <mergeCell ref="A1:AC1"/>
    <mergeCell ref="A2:AC2"/>
    <mergeCell ref="A3:AC3"/>
    <mergeCell ref="A4:AC4"/>
    <mergeCell ref="AC11:AC13"/>
    <mergeCell ref="A6:AC6"/>
    <mergeCell ref="A7:AC7"/>
    <mergeCell ref="A9:AC9"/>
    <mergeCell ref="A8:AC8"/>
    <mergeCell ref="AB54:AC54"/>
    <mergeCell ref="A10:AC10"/>
    <mergeCell ref="A59:B59"/>
    <mergeCell ref="AB59:AC59"/>
    <mergeCell ref="A11:A13"/>
    <mergeCell ref="B11:B13"/>
    <mergeCell ref="C11:S12"/>
    <mergeCell ref="C19:R19"/>
    <mergeCell ref="C14:R14"/>
  </mergeCells>
  <printOptions horizontalCentered="1"/>
  <pageMargins left="0.45" right="0.14000000000000001" top="0.74803149606299213" bottom="0.15748031496062992" header="0.23622047244094491" footer="0.19685039370078741"/>
  <pageSetup paperSize="9" scale="87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AD29"/>
  <sheetViews>
    <sheetView showZeros="0" view="pageBreakPreview" zoomScaleSheetLayoutView="100" workbookViewId="0">
      <selection activeCell="S15" sqref="S15:S18"/>
    </sheetView>
  </sheetViews>
  <sheetFormatPr defaultColWidth="9.140625" defaultRowHeight="15" x14ac:dyDescent="0.25"/>
  <cols>
    <col min="1" max="1" width="5.42578125" style="85" customWidth="1"/>
    <col min="2" max="2" width="72.28515625" style="58" customWidth="1"/>
    <col min="3" max="18" width="3.7109375" style="58" customWidth="1"/>
    <col min="19" max="19" width="10" style="58" customWidth="1"/>
    <col min="20" max="27" width="4.5703125" style="58" hidden="1" customWidth="1"/>
    <col min="28" max="28" width="9.42578125" style="58" hidden="1" customWidth="1"/>
    <col min="29" max="29" width="13.7109375" style="58" customWidth="1"/>
    <col min="30" max="16384" width="9.140625" style="58"/>
  </cols>
  <sheetData>
    <row r="1" spans="1:30" ht="18.75" x14ac:dyDescent="0.25">
      <c r="A1" s="252" t="s">
        <v>24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</row>
    <row r="2" spans="1:30" ht="18.75" x14ac:dyDescent="0.25">
      <c r="A2" s="252" t="s">
        <v>21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</row>
    <row r="3" spans="1:30" ht="18.75" x14ac:dyDescent="0.25">
      <c r="A3" s="252" t="str">
        <f>INSTRUKTUR!A3</f>
        <v>BALAI PELATIHAN VOKASI DAN PRODUKTIVITAS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  <c r="AA3" s="252"/>
      <c r="AB3" s="252"/>
      <c r="AC3" s="252"/>
    </row>
    <row r="4" spans="1:30" x14ac:dyDescent="0.25">
      <c r="A4" s="255" t="s">
        <v>22</v>
      </c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  <c r="AA4" s="255"/>
      <c r="AB4" s="255"/>
      <c r="AC4" s="255"/>
    </row>
    <row r="5" spans="1:30" x14ac:dyDescent="0.25">
      <c r="A5" s="89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</row>
    <row r="6" spans="1:30" s="94" customFormat="1" ht="18" x14ac:dyDescent="0.25">
      <c r="A6" s="302" t="s">
        <v>0</v>
      </c>
      <c r="B6" s="302"/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R6" s="302"/>
      <c r="S6" s="302"/>
      <c r="T6" s="302"/>
      <c r="U6" s="302"/>
      <c r="V6" s="302"/>
      <c r="W6" s="302"/>
      <c r="X6" s="302"/>
      <c r="Y6" s="302"/>
      <c r="Z6" s="302"/>
      <c r="AA6" s="302"/>
      <c r="AB6" s="302"/>
      <c r="AC6" s="302"/>
    </row>
    <row r="7" spans="1:30" s="94" customFormat="1" ht="18" x14ac:dyDescent="0.25">
      <c r="A7" s="302" t="str">
        <f>'Materi Pelatihan'!A7:AC7</f>
        <v>PELATIHAN KOMPETENSI BERBASIS PARIWISATA DAN INDUSTRI KREATIF</v>
      </c>
      <c r="B7" s="302"/>
      <c r="C7" s="302"/>
      <c r="D7" s="302"/>
      <c r="E7" s="302"/>
      <c r="F7" s="302"/>
      <c r="G7" s="302"/>
      <c r="H7" s="302"/>
      <c r="I7" s="302"/>
      <c r="J7" s="302"/>
      <c r="K7" s="302"/>
      <c r="L7" s="302"/>
      <c r="M7" s="302"/>
      <c r="N7" s="302"/>
      <c r="O7" s="302"/>
      <c r="P7" s="302"/>
      <c r="Q7" s="302"/>
      <c r="R7" s="302"/>
      <c r="S7" s="302"/>
      <c r="T7" s="302"/>
      <c r="U7" s="302"/>
      <c r="V7" s="302"/>
      <c r="W7" s="302"/>
      <c r="X7" s="302"/>
      <c r="Y7" s="302"/>
      <c r="Z7" s="302"/>
      <c r="AA7" s="302"/>
      <c r="AB7" s="302"/>
      <c r="AC7" s="302"/>
    </row>
    <row r="8" spans="1:30" s="94" customFormat="1" ht="18" x14ac:dyDescent="0.25">
      <c r="A8" s="248" t="str">
        <f>'Materi Pelatihan'!A8:AC8</f>
        <v xml:space="preserve">PROGRAM PELATIHAN DASAR ASISTEN PEMBUAT PAKAIAN PAKET 2
</v>
      </c>
      <c r="B8" s="248"/>
      <c r="C8" s="248"/>
      <c r="D8" s="248"/>
      <c r="E8" s="248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</row>
    <row r="9" spans="1:30" s="94" customFormat="1" ht="18" x14ac:dyDescent="0.25">
      <c r="A9" s="292" t="str">
        <f>'Materi Pelatihan'!A9:AC9</f>
        <v>TGL Senin 3 Agustus S.D Jumat 28 Agustus 2026</v>
      </c>
      <c r="B9" s="248"/>
      <c r="C9" s="248"/>
      <c r="D9" s="248"/>
      <c r="E9" s="248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</row>
    <row r="10" spans="1:30" s="94" customFormat="1" ht="15.75" thickBot="1" x14ac:dyDescent="0.3">
      <c r="A10" s="293"/>
      <c r="B10" s="293"/>
      <c r="C10" s="293"/>
      <c r="D10" s="293"/>
      <c r="E10" s="293"/>
      <c r="F10" s="293"/>
      <c r="G10" s="293"/>
      <c r="H10" s="293"/>
      <c r="I10" s="293"/>
      <c r="J10" s="293"/>
      <c r="K10" s="293"/>
      <c r="L10" s="293"/>
      <c r="M10" s="293"/>
      <c r="N10" s="293"/>
      <c r="O10" s="293"/>
      <c r="P10" s="293"/>
      <c r="Q10" s="293"/>
      <c r="R10" s="293"/>
      <c r="S10" s="293"/>
      <c r="T10" s="293"/>
      <c r="U10" s="293"/>
      <c r="V10" s="293"/>
      <c r="W10" s="293"/>
      <c r="X10" s="293"/>
      <c r="Y10" s="293"/>
      <c r="Z10" s="293"/>
      <c r="AA10" s="293"/>
      <c r="AB10" s="293"/>
      <c r="AC10" s="293"/>
    </row>
    <row r="11" spans="1:30" ht="15.75" thickBot="1" x14ac:dyDescent="0.3">
      <c r="A11" s="294" t="s">
        <v>1</v>
      </c>
      <c r="B11" s="294" t="s">
        <v>61</v>
      </c>
      <c r="C11" s="295" t="s">
        <v>23</v>
      </c>
      <c r="D11" s="296"/>
      <c r="E11" s="296"/>
      <c r="F11" s="296"/>
      <c r="G11" s="296"/>
      <c r="H11" s="296"/>
      <c r="I11" s="296"/>
      <c r="J11" s="296"/>
      <c r="K11" s="296"/>
      <c r="L11" s="296"/>
      <c r="M11" s="296"/>
      <c r="N11" s="296"/>
      <c r="O11" s="296"/>
      <c r="P11" s="296"/>
      <c r="Q11" s="296"/>
      <c r="R11" s="296"/>
      <c r="S11" s="296"/>
      <c r="T11" s="59"/>
      <c r="U11" s="59"/>
      <c r="V11" s="59"/>
      <c r="W11" s="59"/>
      <c r="X11" s="59"/>
      <c r="Y11" s="59"/>
      <c r="Z11" s="59"/>
      <c r="AA11" s="59"/>
      <c r="AB11" s="60"/>
      <c r="AC11" s="299" t="s">
        <v>3</v>
      </c>
    </row>
    <row r="12" spans="1:30" ht="15.75" thickBot="1" x14ac:dyDescent="0.3">
      <c r="A12" s="294"/>
      <c r="B12" s="294"/>
      <c r="C12" s="297"/>
      <c r="D12" s="298"/>
      <c r="E12" s="298"/>
      <c r="F12" s="298"/>
      <c r="G12" s="298"/>
      <c r="H12" s="298"/>
      <c r="I12" s="298"/>
      <c r="J12" s="298"/>
      <c r="K12" s="298"/>
      <c r="L12" s="298"/>
      <c r="M12" s="298"/>
      <c r="N12" s="298"/>
      <c r="O12" s="298"/>
      <c r="P12" s="298"/>
      <c r="Q12" s="298"/>
      <c r="R12" s="298"/>
      <c r="S12" s="298"/>
      <c r="T12" s="61"/>
      <c r="U12" s="61"/>
      <c r="V12" s="61"/>
      <c r="W12" s="61"/>
      <c r="X12" s="61"/>
      <c r="Y12" s="61"/>
      <c r="Z12" s="61"/>
      <c r="AA12" s="61"/>
      <c r="AB12" s="62"/>
      <c r="AC12" s="300"/>
    </row>
    <row r="13" spans="1:30" ht="16.5" thickTop="1" thickBot="1" x14ac:dyDescent="0.3">
      <c r="A13" s="294"/>
      <c r="B13" s="294"/>
      <c r="C13" s="63">
        <v>1</v>
      </c>
      <c r="D13" s="63">
        <v>2</v>
      </c>
      <c r="E13" s="63">
        <v>3</v>
      </c>
      <c r="F13" s="63">
        <v>4</v>
      </c>
      <c r="G13" s="63">
        <v>5</v>
      </c>
      <c r="H13" s="63">
        <v>6</v>
      </c>
      <c r="I13" s="63">
        <v>7</v>
      </c>
      <c r="J13" s="63">
        <v>8</v>
      </c>
      <c r="K13" s="63">
        <v>9</v>
      </c>
      <c r="L13" s="63">
        <v>10</v>
      </c>
      <c r="M13" s="63">
        <v>11</v>
      </c>
      <c r="N13" s="63">
        <v>12</v>
      </c>
      <c r="O13" s="63">
        <v>13</v>
      </c>
      <c r="P13" s="63">
        <v>14</v>
      </c>
      <c r="Q13" s="63">
        <v>15</v>
      </c>
      <c r="R13" s="63">
        <v>16</v>
      </c>
      <c r="S13" s="63" t="s">
        <v>4</v>
      </c>
      <c r="T13" s="64">
        <v>22</v>
      </c>
      <c r="U13" s="65">
        <v>23</v>
      </c>
      <c r="V13" s="65">
        <v>24</v>
      </c>
      <c r="W13" s="65">
        <v>25</v>
      </c>
      <c r="X13" s="65">
        <v>26</v>
      </c>
      <c r="Y13" s="65">
        <v>27</v>
      </c>
      <c r="Z13" s="65">
        <v>28</v>
      </c>
      <c r="AA13" s="65">
        <v>29</v>
      </c>
      <c r="AB13" s="66" t="s">
        <v>5</v>
      </c>
      <c r="AC13" s="301"/>
      <c r="AD13" s="67"/>
    </row>
    <row r="14" spans="1:30" ht="17.25" customHeight="1" thickBot="1" x14ac:dyDescent="0.3">
      <c r="A14" s="186" t="s">
        <v>6</v>
      </c>
      <c r="B14" s="70" t="s">
        <v>39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9"/>
      <c r="N14" s="69"/>
      <c r="O14" s="69"/>
      <c r="P14" s="69"/>
      <c r="Q14" s="69"/>
      <c r="R14" s="69"/>
      <c r="S14" s="70"/>
      <c r="T14" s="71"/>
      <c r="U14" s="71"/>
      <c r="V14" s="71"/>
      <c r="W14" s="71"/>
      <c r="X14" s="71"/>
      <c r="Y14" s="71"/>
      <c r="Z14" s="71"/>
      <c r="AA14" s="71"/>
      <c r="AB14" s="70"/>
      <c r="AC14" s="72"/>
    </row>
    <row r="15" spans="1:30" ht="24" customHeight="1" x14ac:dyDescent="0.25">
      <c r="A15" s="174">
        <v>1</v>
      </c>
      <c r="B15" s="166" t="s">
        <v>40</v>
      </c>
      <c r="C15" s="73">
        <f>'KOLOM ISIAN'!C24</f>
        <v>5</v>
      </c>
      <c r="D15" s="73">
        <f>'KOLOM ISIAN'!D24</f>
        <v>5</v>
      </c>
      <c r="E15" s="73">
        <f>'KOLOM ISIAN'!E24</f>
        <v>5</v>
      </c>
      <c r="F15" s="73">
        <f>'KOLOM ISIAN'!F24</f>
        <v>5</v>
      </c>
      <c r="G15" s="73">
        <f>'KOLOM ISIAN'!G24</f>
        <v>5</v>
      </c>
      <c r="H15" s="73">
        <f>'KOLOM ISIAN'!H24</f>
        <v>5</v>
      </c>
      <c r="I15" s="73">
        <f>'KOLOM ISIAN'!I24</f>
        <v>4</v>
      </c>
      <c r="J15" s="73">
        <f>'KOLOM ISIAN'!J24</f>
        <v>4</v>
      </c>
      <c r="K15" s="73">
        <f>'KOLOM ISIAN'!K24</f>
        <v>4</v>
      </c>
      <c r="L15" s="73">
        <f>'KOLOM ISIAN'!L24</f>
        <v>5</v>
      </c>
      <c r="M15" s="73">
        <f>'KOLOM ISIAN'!M24</f>
        <v>4</v>
      </c>
      <c r="N15" s="73">
        <f>'KOLOM ISIAN'!N24</f>
        <v>5</v>
      </c>
      <c r="O15" s="73">
        <f>'KOLOM ISIAN'!O24</f>
        <v>0</v>
      </c>
      <c r="P15" s="73">
        <f>'KOLOM ISIAN'!P24</f>
        <v>0</v>
      </c>
      <c r="Q15" s="73">
        <f>'KOLOM ISIAN'!Q24</f>
        <v>0</v>
      </c>
      <c r="R15" s="73">
        <f>'KOLOM ISIAN'!R24</f>
        <v>0</v>
      </c>
      <c r="S15" s="74">
        <f>SUM(C15:R15)/12</f>
        <v>4.666666666666667</v>
      </c>
      <c r="T15" s="75"/>
      <c r="U15" s="75"/>
      <c r="V15" s="75"/>
      <c r="W15" s="75"/>
      <c r="X15" s="75"/>
      <c r="Y15" s="75"/>
      <c r="Z15" s="75"/>
      <c r="AA15" s="75"/>
      <c r="AB15" s="76"/>
      <c r="AC15" s="175" t="str">
        <f t="shared" ref="AC15:AC18" si="0">IF(S15&gt;=2.95,"BAIK",IF(S15&gt;=1.95,"CUKUP","KURANG"))</f>
        <v>BAIK</v>
      </c>
    </row>
    <row r="16" spans="1:30" ht="24" customHeight="1" x14ac:dyDescent="0.25">
      <c r="A16" s="174">
        <v>2</v>
      </c>
      <c r="B16" s="167" t="s">
        <v>41</v>
      </c>
      <c r="C16" s="73">
        <f>'KOLOM ISIAN'!C25:R25</f>
        <v>5</v>
      </c>
      <c r="D16" s="73">
        <f>'KOLOM ISIAN'!D25:S25</f>
        <v>5</v>
      </c>
      <c r="E16" s="73">
        <f>'KOLOM ISIAN'!E25:T25</f>
        <v>5</v>
      </c>
      <c r="F16" s="73">
        <f>'KOLOM ISIAN'!F25:U25</f>
        <v>5</v>
      </c>
      <c r="G16" s="73">
        <f>'KOLOM ISIAN'!G25:V25</f>
        <v>5</v>
      </c>
      <c r="H16" s="73">
        <f>'KOLOM ISIAN'!H25:W25</f>
        <v>5</v>
      </c>
      <c r="I16" s="73">
        <f>'KOLOM ISIAN'!I25:X25</f>
        <v>5</v>
      </c>
      <c r="J16" s="73">
        <f>'KOLOM ISIAN'!J25:Y25</f>
        <v>5</v>
      </c>
      <c r="K16" s="73">
        <f>'KOLOM ISIAN'!K25:Z25</f>
        <v>5</v>
      </c>
      <c r="L16" s="73">
        <f>'KOLOM ISIAN'!L25:AA25</f>
        <v>5</v>
      </c>
      <c r="M16" s="73">
        <f>'KOLOM ISIAN'!M25:AB25</f>
        <v>5</v>
      </c>
      <c r="N16" s="73">
        <f>'KOLOM ISIAN'!N25:AC25</f>
        <v>5</v>
      </c>
      <c r="O16" s="73">
        <f>'KOLOM ISIAN'!O25:AD25</f>
        <v>0</v>
      </c>
      <c r="P16" s="73">
        <f>'KOLOM ISIAN'!P25:AE25</f>
        <v>0</v>
      </c>
      <c r="Q16" s="73">
        <f>'KOLOM ISIAN'!Q25:AF25</f>
        <v>0</v>
      </c>
      <c r="R16" s="73">
        <f>'KOLOM ISIAN'!R25:AG25</f>
        <v>0</v>
      </c>
      <c r="S16" s="74">
        <f t="shared" ref="S16:S18" si="1">SUM(C16:R16)/12</f>
        <v>5</v>
      </c>
      <c r="T16" s="75"/>
      <c r="U16" s="75"/>
      <c r="V16" s="75"/>
      <c r="W16" s="75"/>
      <c r="X16" s="75"/>
      <c r="Y16" s="75"/>
      <c r="Z16" s="75"/>
      <c r="AA16" s="75"/>
      <c r="AB16" s="76"/>
      <c r="AC16" s="175" t="str">
        <f t="shared" si="0"/>
        <v>BAIK</v>
      </c>
    </row>
    <row r="17" spans="1:29" ht="24" customHeight="1" x14ac:dyDescent="0.25">
      <c r="A17" s="174">
        <v>3</v>
      </c>
      <c r="B17" s="167" t="s">
        <v>42</v>
      </c>
      <c r="C17" s="73">
        <f>'KOLOM ISIAN'!C26:R26</f>
        <v>5</v>
      </c>
      <c r="D17" s="73">
        <f>'KOLOM ISIAN'!D26:S26</f>
        <v>5</v>
      </c>
      <c r="E17" s="73">
        <f>'KOLOM ISIAN'!E26:T26</f>
        <v>5</v>
      </c>
      <c r="F17" s="73">
        <f>'KOLOM ISIAN'!F26:U26</f>
        <v>5</v>
      </c>
      <c r="G17" s="73">
        <f>'KOLOM ISIAN'!G26:V26</f>
        <v>5</v>
      </c>
      <c r="H17" s="73">
        <f>'KOLOM ISIAN'!H26:W26</f>
        <v>5</v>
      </c>
      <c r="I17" s="73">
        <f>'KOLOM ISIAN'!I26:X26</f>
        <v>3</v>
      </c>
      <c r="J17" s="73">
        <f>'KOLOM ISIAN'!J26:Y26</f>
        <v>4</v>
      </c>
      <c r="K17" s="73">
        <f>'KOLOM ISIAN'!K26:Z26</f>
        <v>5</v>
      </c>
      <c r="L17" s="73">
        <f>'KOLOM ISIAN'!L26:AA26</f>
        <v>5</v>
      </c>
      <c r="M17" s="73">
        <f>'KOLOM ISIAN'!M26:AB26</f>
        <v>4</v>
      </c>
      <c r="N17" s="73">
        <f>'KOLOM ISIAN'!N26:AC26</f>
        <v>5</v>
      </c>
      <c r="O17" s="73">
        <f>'KOLOM ISIAN'!O26:AD26</f>
        <v>0</v>
      </c>
      <c r="P17" s="73">
        <f>'KOLOM ISIAN'!P26:AE26</f>
        <v>0</v>
      </c>
      <c r="Q17" s="73">
        <f>'KOLOM ISIAN'!Q26:AF26</f>
        <v>0</v>
      </c>
      <c r="R17" s="73">
        <f>'KOLOM ISIAN'!R26:AG26</f>
        <v>0</v>
      </c>
      <c r="S17" s="74">
        <f t="shared" si="1"/>
        <v>4.666666666666667</v>
      </c>
      <c r="T17" s="75"/>
      <c r="U17" s="75"/>
      <c r="V17" s="75"/>
      <c r="W17" s="75"/>
      <c r="X17" s="75"/>
      <c r="Y17" s="75"/>
      <c r="Z17" s="75"/>
      <c r="AA17" s="75"/>
      <c r="AB17" s="76"/>
      <c r="AC17" s="175" t="str">
        <f t="shared" si="0"/>
        <v>BAIK</v>
      </c>
    </row>
    <row r="18" spans="1:29" ht="24" customHeight="1" thickBot="1" x14ac:dyDescent="0.3">
      <c r="A18" s="174">
        <v>4</v>
      </c>
      <c r="B18" s="168" t="s">
        <v>32</v>
      </c>
      <c r="C18" s="73">
        <f>'KOLOM ISIAN'!C27</f>
        <v>3</v>
      </c>
      <c r="D18" s="73">
        <f>'KOLOM ISIAN'!D27</f>
        <v>5</v>
      </c>
      <c r="E18" s="73">
        <f>'KOLOM ISIAN'!E27</f>
        <v>5</v>
      </c>
      <c r="F18" s="73">
        <f>'KOLOM ISIAN'!F27</f>
        <v>5</v>
      </c>
      <c r="G18" s="73">
        <f>'KOLOM ISIAN'!G27</f>
        <v>3</v>
      </c>
      <c r="H18" s="73">
        <f>'KOLOM ISIAN'!H27</f>
        <v>4</v>
      </c>
      <c r="I18" s="73">
        <f>'KOLOM ISIAN'!I27</f>
        <v>4</v>
      </c>
      <c r="J18" s="73">
        <f>'KOLOM ISIAN'!J27</f>
        <v>4</v>
      </c>
      <c r="K18" s="73">
        <f>'KOLOM ISIAN'!K27</f>
        <v>4</v>
      </c>
      <c r="L18" s="73">
        <f>'KOLOM ISIAN'!L27</f>
        <v>4</v>
      </c>
      <c r="M18" s="73">
        <f>'KOLOM ISIAN'!M27</f>
        <v>4</v>
      </c>
      <c r="N18" s="73">
        <f>'KOLOM ISIAN'!N27</f>
        <v>3</v>
      </c>
      <c r="O18" s="73">
        <f>'KOLOM ISIAN'!O27</f>
        <v>0</v>
      </c>
      <c r="P18" s="73">
        <f>'KOLOM ISIAN'!P27</f>
        <v>0</v>
      </c>
      <c r="Q18" s="73">
        <f>'KOLOM ISIAN'!Q27</f>
        <v>0</v>
      </c>
      <c r="R18" s="73">
        <f>'KOLOM ISIAN'!R27</f>
        <v>0</v>
      </c>
      <c r="S18" s="74">
        <f t="shared" si="1"/>
        <v>4</v>
      </c>
      <c r="T18" s="75"/>
      <c r="U18" s="75"/>
      <c r="V18" s="75"/>
      <c r="W18" s="75"/>
      <c r="X18" s="75"/>
      <c r="Y18" s="75"/>
      <c r="Z18" s="75"/>
      <c r="AA18" s="75"/>
      <c r="AB18" s="76"/>
      <c r="AC18" s="175" t="str">
        <f t="shared" si="0"/>
        <v>BAIK</v>
      </c>
    </row>
    <row r="19" spans="1:29" ht="20.25" customHeight="1" thickBot="1" x14ac:dyDescent="0.3">
      <c r="A19" s="78"/>
      <c r="B19" s="79"/>
      <c r="C19" s="287" t="s">
        <v>4</v>
      </c>
      <c r="D19" s="288"/>
      <c r="E19" s="288"/>
      <c r="F19" s="288"/>
      <c r="G19" s="288"/>
      <c r="H19" s="288"/>
      <c r="I19" s="288"/>
      <c r="J19" s="288"/>
      <c r="K19" s="288"/>
      <c r="L19" s="288"/>
      <c r="M19" s="288"/>
      <c r="N19" s="288"/>
      <c r="O19" s="288"/>
      <c r="P19" s="288"/>
      <c r="Q19" s="288"/>
      <c r="R19" s="289"/>
      <c r="S19" s="164">
        <f>AVERAGE(S15:S18)</f>
        <v>4.5833333333333339</v>
      </c>
      <c r="T19" s="77"/>
      <c r="U19" s="77"/>
      <c r="V19" s="77"/>
      <c r="W19" s="77"/>
      <c r="X19" s="77"/>
      <c r="Y19" s="77"/>
      <c r="Z19" s="77"/>
      <c r="AA19" s="77"/>
      <c r="AB19" s="78"/>
      <c r="AC19" s="176" t="str">
        <f>IF(VALUE(S19)&gt;=5,"SANGAT BAIK", IF(VALUE(S19)&gt;=4,"BAIK", IF(VALUE(S19)&gt;=3,"CUKUP", IF(VALUE(S19)&gt;=2,"KURANG", IF(VALUE(S19)&gt;=0,"TIDAK BAIK")))))</f>
        <v>BAIK</v>
      </c>
    </row>
    <row r="20" spans="1:29" x14ac:dyDescent="0.25">
      <c r="A20" s="89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</row>
    <row r="21" spans="1:29" x14ac:dyDescent="0.25">
      <c r="A21" s="80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2"/>
      <c r="T21" s="83"/>
      <c r="U21" s="83"/>
      <c r="V21" s="83"/>
      <c r="W21" s="83"/>
      <c r="X21" s="83"/>
      <c r="Y21" s="83"/>
      <c r="Z21" s="83"/>
      <c r="AA21" s="83"/>
      <c r="AB21" s="84"/>
      <c r="AC21" s="83"/>
    </row>
    <row r="22" spans="1:29" x14ac:dyDescent="0.25">
      <c r="A22" s="80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2"/>
      <c r="T22" s="83"/>
      <c r="U22" s="83"/>
      <c r="V22" s="83"/>
      <c r="W22" s="83"/>
      <c r="X22" s="83"/>
      <c r="Y22" s="83"/>
      <c r="Z22" s="83"/>
      <c r="AA22" s="83"/>
      <c r="AB22" s="84"/>
      <c r="AC22" s="83"/>
    </row>
    <row r="23" spans="1:29" x14ac:dyDescent="0.25">
      <c r="A23" s="80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2"/>
      <c r="T23" s="83"/>
      <c r="U23" s="83"/>
      <c r="V23" s="83"/>
      <c r="W23" s="83"/>
      <c r="X23" s="83"/>
      <c r="Y23" s="83"/>
      <c r="Z23" s="83"/>
      <c r="AA23" s="83"/>
      <c r="AB23" s="84"/>
      <c r="AC23" s="83"/>
    </row>
    <row r="24" spans="1:29" x14ac:dyDescent="0.25"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AB24" s="290"/>
      <c r="AC24" s="290"/>
    </row>
    <row r="25" spans="1:29" x14ac:dyDescent="0.25"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AB25" s="85"/>
      <c r="AC25" s="85"/>
    </row>
    <row r="26" spans="1:29" x14ac:dyDescent="0.25"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</row>
    <row r="27" spans="1:29" x14ac:dyDescent="0.25"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</row>
    <row r="28" spans="1:29" x14ac:dyDescent="0.25">
      <c r="B28" s="86"/>
    </row>
    <row r="29" spans="1:29" x14ac:dyDescent="0.25">
      <c r="A29" s="291"/>
      <c r="B29" s="291"/>
      <c r="C29" s="80"/>
      <c r="D29" s="80"/>
      <c r="E29" s="80"/>
      <c r="F29" s="80"/>
      <c r="G29" s="80"/>
      <c r="H29" s="80"/>
      <c r="I29" s="80"/>
      <c r="J29" s="80"/>
      <c r="K29" s="80"/>
      <c r="L29" s="80"/>
      <c r="AB29" s="291"/>
      <c r="AC29" s="291"/>
    </row>
  </sheetData>
  <mergeCells count="17">
    <mergeCell ref="A7:AC7"/>
    <mergeCell ref="A1:AC1"/>
    <mergeCell ref="A2:AC2"/>
    <mergeCell ref="A3:AC3"/>
    <mergeCell ref="A4:AC4"/>
    <mergeCell ref="A6:AC6"/>
    <mergeCell ref="C19:R19"/>
    <mergeCell ref="AB24:AC24"/>
    <mergeCell ref="A29:B29"/>
    <mergeCell ref="AB29:AC29"/>
    <mergeCell ref="A8:AC8"/>
    <mergeCell ref="A9:AC9"/>
    <mergeCell ref="A10:AC10"/>
    <mergeCell ref="A11:A13"/>
    <mergeCell ref="B11:B13"/>
    <mergeCell ref="C11:S12"/>
    <mergeCell ref="AC11:AC13"/>
  </mergeCells>
  <pageMargins left="0.7" right="0.7" top="0.75" bottom="0.75" header="0.3" footer="0.3"/>
  <pageSetup scale="7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AC23"/>
  <sheetViews>
    <sheetView showZeros="0" view="pageBreakPreview" zoomScaleSheetLayoutView="100" workbookViewId="0">
      <selection activeCell="S16" sqref="S16:S19"/>
    </sheetView>
  </sheetViews>
  <sheetFormatPr defaultRowHeight="12.75" x14ac:dyDescent="0.2"/>
  <cols>
    <col min="1" max="1" width="5.42578125" customWidth="1"/>
    <col min="2" max="2" width="74.42578125" customWidth="1"/>
    <col min="3" max="18" width="3.7109375" customWidth="1"/>
    <col min="19" max="19" width="10" style="1" customWidth="1"/>
    <col min="20" max="27" width="4.5703125" hidden="1" customWidth="1"/>
    <col min="28" max="28" width="9.42578125" hidden="1" customWidth="1"/>
    <col min="29" max="29" width="12.28515625" customWidth="1"/>
  </cols>
  <sheetData>
    <row r="1" spans="1:29" s="88" customFormat="1" ht="18.75" x14ac:dyDescent="0.3">
      <c r="A1" s="269" t="s">
        <v>24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69"/>
    </row>
    <row r="2" spans="1:29" s="88" customFormat="1" ht="15.75" x14ac:dyDescent="0.25">
      <c r="A2" s="270" t="s">
        <v>21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  <c r="AA2" s="270"/>
      <c r="AB2" s="270"/>
      <c r="AC2" s="270"/>
    </row>
    <row r="3" spans="1:29" s="88" customFormat="1" ht="21" x14ac:dyDescent="0.35">
      <c r="A3" s="306" t="str">
        <f>'Materi Pelatihan'!A3:AC3</f>
        <v>BALAI PELATIHAN VOKASI DAN PRODUKTIVITAS</v>
      </c>
      <c r="B3" s="306"/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  <c r="W3" s="306"/>
      <c r="X3" s="306"/>
      <c r="Y3" s="306"/>
      <c r="Z3" s="306"/>
      <c r="AA3" s="306"/>
      <c r="AB3" s="306"/>
      <c r="AC3" s="306"/>
    </row>
    <row r="4" spans="1:29" s="88" customFormat="1" x14ac:dyDescent="0.2">
      <c r="A4" s="271" t="s">
        <v>22</v>
      </c>
      <c r="B4" s="271"/>
      <c r="C4" s="271"/>
      <c r="D4" s="271"/>
      <c r="E4" s="271"/>
      <c r="F4" s="271"/>
      <c r="G4" s="271"/>
      <c r="H4" s="271"/>
      <c r="I4" s="271"/>
      <c r="J4" s="271"/>
      <c r="K4" s="271"/>
      <c r="L4" s="271"/>
      <c r="M4" s="271"/>
      <c r="N4" s="271"/>
      <c r="O4" s="271"/>
      <c r="P4" s="271"/>
      <c r="Q4" s="271"/>
      <c r="R4" s="271"/>
      <c r="S4" s="271"/>
      <c r="T4" s="271"/>
      <c r="U4" s="271"/>
      <c r="V4" s="271"/>
      <c r="W4" s="271"/>
      <c r="X4" s="271"/>
      <c r="Y4" s="271"/>
      <c r="Z4" s="271"/>
      <c r="AA4" s="271"/>
      <c r="AB4" s="271"/>
      <c r="AC4" s="271"/>
    </row>
    <row r="5" spans="1:29" s="88" customFormat="1" ht="15.75" customHeight="1" x14ac:dyDescent="0.2">
      <c r="A5" s="87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90"/>
      <c r="T5" s="91"/>
      <c r="U5" s="91"/>
      <c r="V5" s="91"/>
      <c r="W5" s="91"/>
      <c r="X5" s="91"/>
      <c r="Y5" s="91"/>
      <c r="Z5" s="91"/>
      <c r="AA5" s="91"/>
      <c r="AB5" s="92"/>
      <c r="AC5" s="91"/>
    </row>
    <row r="6" spans="1:29" s="88" customFormat="1" ht="15.75" customHeight="1" x14ac:dyDescent="0.2">
      <c r="S6" s="93"/>
    </row>
    <row r="7" spans="1:29" s="88" customFormat="1" ht="18" x14ac:dyDescent="0.2">
      <c r="A7" s="248" t="s">
        <v>0</v>
      </c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</row>
    <row r="8" spans="1:29" s="88" customFormat="1" ht="18" x14ac:dyDescent="0.2">
      <c r="A8" s="248" t="str">
        <f>'Materi Pelatihan'!A7:AC7</f>
        <v>PELATIHAN KOMPETENSI BERBASIS PARIWISATA DAN INDUSTRI KREATIF</v>
      </c>
      <c r="B8" s="248"/>
      <c r="C8" s="248"/>
      <c r="D8" s="248"/>
      <c r="E8" s="248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</row>
    <row r="9" spans="1:29" s="88" customFormat="1" ht="18" x14ac:dyDescent="0.2">
      <c r="A9" s="248" t="str">
        <f>'Materi Pelatihan'!A8:AC8</f>
        <v xml:space="preserve">PROGRAM PELATIHAN DASAR ASISTEN PEMBUAT PAKAIAN PAKET 2
</v>
      </c>
      <c r="B9" s="248"/>
      <c r="C9" s="248"/>
      <c r="D9" s="248"/>
      <c r="E9" s="248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</row>
    <row r="10" spans="1:29" s="88" customFormat="1" ht="18" x14ac:dyDescent="0.2">
      <c r="A10" s="292" t="str">
        <f>'Materi Pelatihan'!A9:AC9</f>
        <v>TGL Senin 3 Agustus S.D Jumat 28 Agustus 2026</v>
      </c>
      <c r="B10" s="248"/>
      <c r="C10" s="248"/>
      <c r="D10" s="248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</row>
    <row r="11" spans="1:29" s="88" customFormat="1" ht="18.75" thickBot="1" x14ac:dyDescent="0.3">
      <c r="A11" s="307"/>
      <c r="B11" s="307"/>
      <c r="C11" s="307"/>
      <c r="D11" s="307"/>
      <c r="E11" s="307"/>
      <c r="F11" s="307"/>
      <c r="G11" s="307"/>
      <c r="H11" s="307"/>
      <c r="I11" s="307"/>
      <c r="J11" s="307"/>
      <c r="K11" s="307"/>
      <c r="L11" s="307"/>
      <c r="M11" s="307"/>
      <c r="N11" s="307"/>
      <c r="O11" s="307"/>
      <c r="P11" s="307"/>
      <c r="Q11" s="307"/>
      <c r="R11" s="307"/>
      <c r="S11" s="307"/>
      <c r="T11" s="307"/>
      <c r="U11" s="307"/>
      <c r="V11" s="307"/>
      <c r="W11" s="307"/>
      <c r="X11" s="307"/>
      <c r="Y11" s="307"/>
      <c r="Z11" s="307"/>
      <c r="AA11" s="307"/>
      <c r="AB11" s="307"/>
      <c r="AC11" s="307"/>
    </row>
    <row r="12" spans="1:29" ht="13.5" thickBot="1" x14ac:dyDescent="0.25">
      <c r="A12" s="274" t="s">
        <v>1</v>
      </c>
      <c r="B12" s="274" t="s">
        <v>2</v>
      </c>
      <c r="C12" s="308" t="s">
        <v>26</v>
      </c>
      <c r="D12" s="309"/>
      <c r="E12" s="309"/>
      <c r="F12" s="309"/>
      <c r="G12" s="309"/>
      <c r="H12" s="309"/>
      <c r="I12" s="309"/>
      <c r="J12" s="309"/>
      <c r="K12" s="309"/>
      <c r="L12" s="309"/>
      <c r="M12" s="309"/>
      <c r="N12" s="312">
        <f>'KOLOM ISIAN'!N20</f>
        <v>0</v>
      </c>
      <c r="O12" s="312"/>
      <c r="P12" s="312"/>
      <c r="Q12" s="312"/>
      <c r="R12" s="312"/>
      <c r="S12" s="312"/>
      <c r="T12" s="24"/>
      <c r="U12" s="24"/>
      <c r="V12" s="24"/>
      <c r="W12" s="24"/>
      <c r="X12" s="24"/>
      <c r="Y12" s="24"/>
      <c r="Z12" s="24"/>
      <c r="AA12" s="24"/>
      <c r="AB12" s="25"/>
      <c r="AC12" s="284" t="s">
        <v>3</v>
      </c>
    </row>
    <row r="13" spans="1:29" ht="6.75" customHeight="1" thickBot="1" x14ac:dyDescent="0.25">
      <c r="A13" s="274"/>
      <c r="B13" s="274"/>
      <c r="C13" s="310"/>
      <c r="D13" s="311"/>
      <c r="E13" s="311"/>
      <c r="F13" s="311"/>
      <c r="G13" s="311"/>
      <c r="H13" s="311"/>
      <c r="I13" s="311"/>
      <c r="J13" s="311"/>
      <c r="K13" s="311"/>
      <c r="L13" s="311"/>
      <c r="M13" s="311"/>
      <c r="N13" s="313"/>
      <c r="O13" s="313"/>
      <c r="P13" s="313"/>
      <c r="Q13" s="313"/>
      <c r="R13" s="313"/>
      <c r="S13" s="313"/>
      <c r="T13" s="26"/>
      <c r="U13" s="26"/>
      <c r="V13" s="26"/>
      <c r="W13" s="26"/>
      <c r="X13" s="26"/>
      <c r="Y13" s="26"/>
      <c r="Z13" s="26"/>
      <c r="AA13" s="26"/>
      <c r="AB13" s="27"/>
      <c r="AC13" s="285"/>
    </row>
    <row r="14" spans="1:29" ht="14.25" thickTop="1" thickBot="1" x14ac:dyDescent="0.25">
      <c r="A14" s="274"/>
      <c r="B14" s="274"/>
      <c r="C14" s="28">
        <v>1</v>
      </c>
      <c r="D14" s="28">
        <v>2</v>
      </c>
      <c r="E14" s="28">
        <v>3</v>
      </c>
      <c r="F14" s="28">
        <v>4</v>
      </c>
      <c r="G14" s="28">
        <v>5</v>
      </c>
      <c r="H14" s="28">
        <v>6</v>
      </c>
      <c r="I14" s="28">
        <v>7</v>
      </c>
      <c r="J14" s="28">
        <v>8</v>
      </c>
      <c r="K14" s="28">
        <v>9</v>
      </c>
      <c r="L14" s="28">
        <v>10</v>
      </c>
      <c r="M14" s="28">
        <v>11</v>
      </c>
      <c r="N14" s="28">
        <v>12</v>
      </c>
      <c r="O14" s="28">
        <v>13</v>
      </c>
      <c r="P14" s="28">
        <v>14</v>
      </c>
      <c r="Q14" s="28">
        <v>15</v>
      </c>
      <c r="R14" s="28">
        <v>16</v>
      </c>
      <c r="S14" s="28" t="s">
        <v>4</v>
      </c>
      <c r="T14" s="29">
        <v>22</v>
      </c>
      <c r="U14" s="30">
        <v>23</v>
      </c>
      <c r="V14" s="30">
        <v>24</v>
      </c>
      <c r="W14" s="30">
        <v>25</v>
      </c>
      <c r="X14" s="30">
        <v>26</v>
      </c>
      <c r="Y14" s="30">
        <v>27</v>
      </c>
      <c r="Z14" s="30">
        <v>28</v>
      </c>
      <c r="AA14" s="30">
        <v>29</v>
      </c>
      <c r="AB14" s="31" t="s">
        <v>5</v>
      </c>
      <c r="AC14" s="286"/>
    </row>
    <row r="15" spans="1:29" ht="17.25" customHeight="1" thickBot="1" x14ac:dyDescent="0.25">
      <c r="A15" s="185" t="s">
        <v>27</v>
      </c>
      <c r="B15" s="33" t="s">
        <v>7</v>
      </c>
      <c r="C15" s="314"/>
      <c r="D15" s="314"/>
      <c r="E15" s="314"/>
      <c r="F15" s="314"/>
      <c r="G15" s="314"/>
      <c r="H15" s="314"/>
      <c r="I15" s="314"/>
      <c r="J15" s="314"/>
      <c r="K15" s="314"/>
      <c r="L15" s="314"/>
      <c r="M15" s="314"/>
      <c r="N15" s="314"/>
      <c r="O15" s="314"/>
      <c r="P15" s="314"/>
      <c r="Q15" s="314"/>
      <c r="R15" s="314"/>
      <c r="S15" s="33"/>
      <c r="T15" s="32"/>
      <c r="U15" s="32"/>
      <c r="V15" s="32"/>
      <c r="W15" s="32"/>
      <c r="X15" s="32"/>
      <c r="Y15" s="32"/>
      <c r="Z15" s="32"/>
      <c r="AA15" s="32"/>
      <c r="AB15" s="33"/>
      <c r="AC15" s="34"/>
    </row>
    <row r="16" spans="1:29" ht="24" customHeight="1" x14ac:dyDescent="0.2">
      <c r="A16" s="146">
        <v>1</v>
      </c>
      <c r="B16" s="172" t="s">
        <v>43</v>
      </c>
      <c r="C16" s="56">
        <f>'KOLOM ISIAN'!C32</f>
        <v>5</v>
      </c>
      <c r="D16" s="56">
        <f>'KOLOM ISIAN'!D32</f>
        <v>5</v>
      </c>
      <c r="E16" s="56">
        <f>'KOLOM ISIAN'!E32</f>
        <v>5</v>
      </c>
      <c r="F16" s="56">
        <f>'KOLOM ISIAN'!F32</f>
        <v>5</v>
      </c>
      <c r="G16" s="56">
        <f>'KOLOM ISIAN'!G32</f>
        <v>5</v>
      </c>
      <c r="H16" s="56">
        <f>'KOLOM ISIAN'!H32</f>
        <v>5</v>
      </c>
      <c r="I16" s="56">
        <f>'KOLOM ISIAN'!I32</f>
        <v>5</v>
      </c>
      <c r="J16" s="56">
        <f>'KOLOM ISIAN'!J32</f>
        <v>5</v>
      </c>
      <c r="K16" s="56">
        <f>'KOLOM ISIAN'!K32</f>
        <v>5</v>
      </c>
      <c r="L16" s="56">
        <f>'KOLOM ISIAN'!L32</f>
        <v>5</v>
      </c>
      <c r="M16" s="56">
        <f>'KOLOM ISIAN'!M32</f>
        <v>5</v>
      </c>
      <c r="N16" s="56">
        <f>'KOLOM ISIAN'!N32</f>
        <v>5</v>
      </c>
      <c r="O16" s="56">
        <f>'KOLOM ISIAN'!O32</f>
        <v>0</v>
      </c>
      <c r="P16" s="56">
        <f>'KOLOM ISIAN'!P32</f>
        <v>0</v>
      </c>
      <c r="Q16" s="56">
        <f>'KOLOM ISIAN'!Q31:AF31</f>
        <v>0</v>
      </c>
      <c r="R16" s="56">
        <f>'KOLOM ISIAN'!R31:AG31</f>
        <v>0</v>
      </c>
      <c r="S16" s="22">
        <f>SUM(C16:R16)/12</f>
        <v>5</v>
      </c>
      <c r="T16" s="23"/>
      <c r="U16" s="23"/>
      <c r="V16" s="23"/>
      <c r="W16" s="23"/>
      <c r="X16" s="23"/>
      <c r="Y16" s="23"/>
      <c r="Z16" s="23"/>
      <c r="AA16" s="23"/>
      <c r="AB16" s="39">
        <f>SUM(M16:AA16)</f>
        <v>15</v>
      </c>
      <c r="AC16" s="23" t="str">
        <f>IF(S16&gt;=2.95,"BAIK",IF(S16&gt;=1.95,"CUKUP","KURANG"))</f>
        <v>BAIK</v>
      </c>
    </row>
    <row r="17" spans="1:29" ht="24" customHeight="1" x14ac:dyDescent="0.2">
      <c r="A17" s="146">
        <v>2</v>
      </c>
      <c r="B17" s="172" t="s">
        <v>33</v>
      </c>
      <c r="C17" s="56">
        <f>'KOLOM ISIAN'!C32:R32</f>
        <v>5</v>
      </c>
      <c r="D17" s="56">
        <f>'KOLOM ISIAN'!D32:S32</f>
        <v>5</v>
      </c>
      <c r="E17" s="56">
        <f>'KOLOM ISIAN'!E32:T32</f>
        <v>5</v>
      </c>
      <c r="F17" s="56">
        <f>'KOLOM ISIAN'!F32:U32</f>
        <v>5</v>
      </c>
      <c r="G17" s="56">
        <f>'KOLOM ISIAN'!G32:V32</f>
        <v>5</v>
      </c>
      <c r="H17" s="56">
        <f>'KOLOM ISIAN'!H32:W32</f>
        <v>5</v>
      </c>
      <c r="I17" s="56">
        <f>'KOLOM ISIAN'!I32:X32</f>
        <v>5</v>
      </c>
      <c r="J17" s="56">
        <f>'KOLOM ISIAN'!J32:Y32</f>
        <v>5</v>
      </c>
      <c r="K17" s="56">
        <f>'KOLOM ISIAN'!K32:Z32</f>
        <v>5</v>
      </c>
      <c r="L17" s="56">
        <f>'KOLOM ISIAN'!L32:AA32</f>
        <v>5</v>
      </c>
      <c r="M17" s="56">
        <f>'KOLOM ISIAN'!M32:AB32</f>
        <v>5</v>
      </c>
      <c r="N17" s="56">
        <f>'KOLOM ISIAN'!N32:AC32</f>
        <v>5</v>
      </c>
      <c r="O17" s="56">
        <f>'KOLOM ISIAN'!O32:AD32</f>
        <v>0</v>
      </c>
      <c r="P17" s="56">
        <f>'KOLOM ISIAN'!P32:AE32</f>
        <v>0</v>
      </c>
      <c r="Q17" s="56">
        <f>'KOLOM ISIAN'!Q32:AF32</f>
        <v>0</v>
      </c>
      <c r="R17" s="56">
        <f>'KOLOM ISIAN'!R32:AG32</f>
        <v>0</v>
      </c>
      <c r="S17" s="22">
        <f t="shared" ref="S17:S19" si="0">SUM(C17:R17)/12</f>
        <v>5</v>
      </c>
      <c r="T17" s="23"/>
      <c r="U17" s="23"/>
      <c r="V17" s="23"/>
      <c r="W17" s="23"/>
      <c r="X17" s="23"/>
      <c r="Y17" s="23"/>
      <c r="Z17" s="23"/>
      <c r="AA17" s="23"/>
      <c r="AB17" s="39"/>
      <c r="AC17" s="23" t="str">
        <f>IF(S17&gt;=2.95,"BAIK",IF(S17&gt;=1.95,"CUKUP","KURANG"))</f>
        <v>BAIK</v>
      </c>
    </row>
    <row r="18" spans="1:29" ht="24" customHeight="1" x14ac:dyDescent="0.2">
      <c r="A18" s="146">
        <v>3</v>
      </c>
      <c r="B18" s="172" t="s">
        <v>44</v>
      </c>
      <c r="C18" s="56">
        <f>'KOLOM ISIAN'!C33:R33</f>
        <v>5</v>
      </c>
      <c r="D18" s="56">
        <f>'KOLOM ISIAN'!D33:S33</f>
        <v>5</v>
      </c>
      <c r="E18" s="56">
        <f>'KOLOM ISIAN'!E33:T33</f>
        <v>4</v>
      </c>
      <c r="F18" s="56">
        <f>'KOLOM ISIAN'!F33:U33</f>
        <v>5</v>
      </c>
      <c r="G18" s="56">
        <f>'KOLOM ISIAN'!G33:V33</f>
        <v>5</v>
      </c>
      <c r="H18" s="56">
        <f>'KOLOM ISIAN'!H33:W33</f>
        <v>5</v>
      </c>
      <c r="I18" s="56">
        <f>'KOLOM ISIAN'!I33:X33</f>
        <v>4</v>
      </c>
      <c r="J18" s="56">
        <f>'KOLOM ISIAN'!J33:Y33</f>
        <v>5</v>
      </c>
      <c r="K18" s="56">
        <f>'KOLOM ISIAN'!K33:Z33</f>
        <v>5</v>
      </c>
      <c r="L18" s="56">
        <f>'KOLOM ISIAN'!L33:AA33</f>
        <v>5</v>
      </c>
      <c r="M18" s="56">
        <f>'KOLOM ISIAN'!M33:AB33</f>
        <v>5</v>
      </c>
      <c r="N18" s="56">
        <f>'KOLOM ISIAN'!N33:AC33</f>
        <v>5</v>
      </c>
      <c r="O18" s="56">
        <f>'KOLOM ISIAN'!O33:AD33</f>
        <v>0</v>
      </c>
      <c r="P18" s="56">
        <f>'KOLOM ISIAN'!P33:AE33</f>
        <v>0</v>
      </c>
      <c r="Q18" s="56">
        <f>'KOLOM ISIAN'!Q33:AF33</f>
        <v>0</v>
      </c>
      <c r="R18" s="56">
        <f>'KOLOM ISIAN'!R33:AG33</f>
        <v>0</v>
      </c>
      <c r="S18" s="22">
        <f t="shared" si="0"/>
        <v>4.833333333333333</v>
      </c>
      <c r="T18" s="23"/>
      <c r="U18" s="23"/>
      <c r="V18" s="23"/>
      <c r="W18" s="23"/>
      <c r="X18" s="23"/>
      <c r="Y18" s="23"/>
      <c r="Z18" s="23"/>
      <c r="AA18" s="23"/>
      <c r="AB18" s="39"/>
      <c r="AC18" s="23" t="str">
        <f>IF(S18&gt;=2.95,"BAIK",IF(S18&gt;=1.95,"CUKUP","KURANG"))</f>
        <v>BAIK</v>
      </c>
    </row>
    <row r="19" spans="1:29" ht="24" customHeight="1" thickBot="1" x14ac:dyDescent="0.25">
      <c r="A19" s="146">
        <v>4</v>
      </c>
      <c r="B19" s="173" t="s">
        <v>34</v>
      </c>
      <c r="C19" s="40">
        <f>'KOLOM ISIAN'!C34:R34</f>
        <v>5</v>
      </c>
      <c r="D19" s="40">
        <f>'KOLOM ISIAN'!D34:S34</f>
        <v>5</v>
      </c>
      <c r="E19" s="40">
        <f>'KOLOM ISIAN'!E34:T34</f>
        <v>5</v>
      </c>
      <c r="F19" s="40">
        <f>'KOLOM ISIAN'!F34:U34</f>
        <v>5</v>
      </c>
      <c r="G19" s="40">
        <f>'KOLOM ISIAN'!G34:V34</f>
        <v>5</v>
      </c>
      <c r="H19" s="40">
        <f>'KOLOM ISIAN'!H34:W34</f>
        <v>5</v>
      </c>
      <c r="I19" s="40">
        <f>'KOLOM ISIAN'!I34:X34</f>
        <v>5</v>
      </c>
      <c r="J19" s="40">
        <f>'KOLOM ISIAN'!J34:Y34</f>
        <v>5</v>
      </c>
      <c r="K19" s="40">
        <f>'KOLOM ISIAN'!K34:Z34</f>
        <v>5</v>
      </c>
      <c r="L19" s="40">
        <f>'KOLOM ISIAN'!L34:AA34</f>
        <v>5</v>
      </c>
      <c r="M19" s="40">
        <f>'KOLOM ISIAN'!M34:AB34</f>
        <v>5</v>
      </c>
      <c r="N19" s="40">
        <f>'KOLOM ISIAN'!N34:AC34</f>
        <v>4</v>
      </c>
      <c r="O19" s="40">
        <f>'KOLOM ISIAN'!O34:AD34</f>
        <v>0</v>
      </c>
      <c r="P19" s="40">
        <f>'KOLOM ISIAN'!P34:AE34</f>
        <v>0</v>
      </c>
      <c r="Q19" s="40">
        <f>'KOLOM ISIAN'!Q34:AF34</f>
        <v>0</v>
      </c>
      <c r="R19" s="40">
        <f>'KOLOM ISIAN'!R34:AG34</f>
        <v>0</v>
      </c>
      <c r="S19" s="22">
        <f t="shared" si="0"/>
        <v>4.916666666666667</v>
      </c>
      <c r="T19" s="41"/>
      <c r="U19" s="41"/>
      <c r="V19" s="41"/>
      <c r="W19" s="41"/>
      <c r="X19" s="41"/>
      <c r="Y19" s="41"/>
      <c r="Z19" s="41"/>
      <c r="AA19" s="41"/>
      <c r="AB19" s="41"/>
      <c r="AC19" s="23" t="str">
        <f>IF(S19&gt;=2.95,"BAIK",IF(S19&gt;=1.95,"CUKUP","KURANG"))</f>
        <v>BAIK</v>
      </c>
    </row>
    <row r="20" spans="1:29" s="9" customFormat="1" ht="18.75" customHeight="1" thickTop="1" thickBot="1" x14ac:dyDescent="0.25">
      <c r="A20" s="35"/>
      <c r="B20" s="36"/>
      <c r="C20" s="303" t="s">
        <v>4</v>
      </c>
      <c r="D20" s="304"/>
      <c r="E20" s="304"/>
      <c r="F20" s="304"/>
      <c r="G20" s="304"/>
      <c r="H20" s="304"/>
      <c r="I20" s="304"/>
      <c r="J20" s="304"/>
      <c r="K20" s="304"/>
      <c r="L20" s="304"/>
      <c r="M20" s="304"/>
      <c r="N20" s="304"/>
      <c r="O20" s="304"/>
      <c r="P20" s="304"/>
      <c r="Q20" s="304"/>
      <c r="R20" s="305"/>
      <c r="S20" s="37">
        <f>AVERAGE(S16:S19)</f>
        <v>4.9375</v>
      </c>
      <c r="T20" s="38"/>
      <c r="U20" s="38"/>
      <c r="V20" s="38"/>
      <c r="W20" s="38"/>
      <c r="X20" s="38"/>
      <c r="Y20" s="38"/>
      <c r="Z20" s="38"/>
      <c r="AA20" s="38"/>
      <c r="AB20" s="38"/>
      <c r="AC20" s="38" t="str">
        <f>IF(S20&gt;=2.95,"BAIK",IF(S20&gt;=1.95,"CUKUP","KURANG"))</f>
        <v>BAIK</v>
      </c>
    </row>
    <row r="21" spans="1:29" s="9" customFormat="1" ht="15" hidden="1" x14ac:dyDescent="0.2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spans="1:29" s="9" customFormat="1" ht="15" x14ac:dyDescent="0.2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 spans="1:29" s="9" customFormat="1" ht="15" x14ac:dyDescent="0.2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</sheetData>
  <mergeCells count="16">
    <mergeCell ref="C20:R20"/>
    <mergeCell ref="AC12:AC14"/>
    <mergeCell ref="A1:AC1"/>
    <mergeCell ref="A2:AC2"/>
    <mergeCell ref="A3:AC3"/>
    <mergeCell ref="A4:AC4"/>
    <mergeCell ref="A11:AC11"/>
    <mergeCell ref="A7:AC7"/>
    <mergeCell ref="A8:AC8"/>
    <mergeCell ref="A10:AC10"/>
    <mergeCell ref="A12:A14"/>
    <mergeCell ref="B12:B14"/>
    <mergeCell ref="C12:M13"/>
    <mergeCell ref="N12:S13"/>
    <mergeCell ref="A9:AC9"/>
    <mergeCell ref="C15:R15"/>
  </mergeCells>
  <phoneticPr fontId="8" type="noConversion"/>
  <printOptions horizontalCentered="1"/>
  <pageMargins left="0.6" right="0" top="0.56999999999999995" bottom="0.23622047244094491" header="0.31496062992125984" footer="0.15748031496062992"/>
  <pageSetup paperSize="9" scale="81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AD31"/>
  <sheetViews>
    <sheetView showZeros="0" view="pageBreakPreview" zoomScaleSheetLayoutView="100" workbookViewId="0">
      <selection activeCell="S16" sqref="S16:S20"/>
    </sheetView>
  </sheetViews>
  <sheetFormatPr defaultColWidth="9.140625" defaultRowHeight="15" x14ac:dyDescent="0.25"/>
  <cols>
    <col min="1" max="1" width="5.42578125" style="85" customWidth="1"/>
    <col min="2" max="2" width="72.28515625" style="58" customWidth="1"/>
    <col min="3" max="18" width="3.7109375" style="58" customWidth="1"/>
    <col min="19" max="19" width="10" style="58" customWidth="1"/>
    <col min="20" max="27" width="4.5703125" style="58" hidden="1" customWidth="1"/>
    <col min="28" max="28" width="9.42578125" style="58" hidden="1" customWidth="1"/>
    <col min="29" max="29" width="13.7109375" style="58" customWidth="1"/>
    <col min="30" max="16384" width="9.140625" style="58"/>
  </cols>
  <sheetData>
    <row r="1" spans="1:30" ht="18.75" x14ac:dyDescent="0.3">
      <c r="A1" s="315" t="s">
        <v>24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315"/>
      <c r="Q1" s="315"/>
      <c r="R1" s="315"/>
      <c r="S1" s="315"/>
      <c r="T1" s="315"/>
      <c r="U1" s="315"/>
      <c r="V1" s="315"/>
      <c r="W1" s="315"/>
      <c r="X1" s="315"/>
      <c r="Y1" s="315"/>
      <c r="Z1" s="315"/>
      <c r="AA1" s="315"/>
      <c r="AB1" s="315"/>
      <c r="AC1" s="315"/>
    </row>
    <row r="2" spans="1:30" ht="15.75" x14ac:dyDescent="0.25">
      <c r="A2" s="316" t="s">
        <v>21</v>
      </c>
      <c r="B2" s="316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6"/>
      <c r="U2" s="316"/>
      <c r="V2" s="316"/>
      <c r="W2" s="316"/>
      <c r="X2" s="316"/>
      <c r="Y2" s="316"/>
      <c r="Z2" s="316"/>
      <c r="AA2" s="316"/>
      <c r="AB2" s="316"/>
      <c r="AC2" s="316"/>
    </row>
    <row r="3" spans="1:30" ht="21" x14ac:dyDescent="0.35">
      <c r="A3" s="317" t="str">
        <f>INSTRUKTUR!A3</f>
        <v>BALAI PELATIHAN VOKASI DAN PRODUKTIVITAS</v>
      </c>
      <c r="B3" s="317"/>
      <c r="C3" s="317"/>
      <c r="D3" s="317"/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</row>
    <row r="4" spans="1:30" x14ac:dyDescent="0.25">
      <c r="A4" s="318" t="s">
        <v>22</v>
      </c>
      <c r="B4" s="318"/>
      <c r="C4" s="318"/>
      <c r="D4" s="318"/>
      <c r="E4" s="318"/>
      <c r="F4" s="318"/>
      <c r="G4" s="318"/>
      <c r="H4" s="318"/>
      <c r="I4" s="318"/>
      <c r="J4" s="318"/>
      <c r="K4" s="318"/>
      <c r="L4" s="318"/>
      <c r="M4" s="318"/>
      <c r="N4" s="318"/>
      <c r="O4" s="318"/>
      <c r="P4" s="318"/>
      <c r="Q4" s="318"/>
      <c r="R4" s="318"/>
      <c r="S4" s="318"/>
      <c r="T4" s="318"/>
      <c r="U4" s="318"/>
      <c r="V4" s="318"/>
      <c r="W4" s="318"/>
      <c r="X4" s="318"/>
      <c r="Y4" s="318"/>
      <c r="Z4" s="318"/>
      <c r="AA4" s="318"/>
      <c r="AB4" s="318"/>
      <c r="AC4" s="318"/>
    </row>
    <row r="5" spans="1:30" x14ac:dyDescent="0.25">
      <c r="A5" s="58"/>
    </row>
    <row r="7" spans="1:30" s="94" customFormat="1" ht="18" x14ac:dyDescent="0.25">
      <c r="A7" s="302" t="s">
        <v>0</v>
      </c>
      <c r="B7" s="302"/>
      <c r="C7" s="302"/>
      <c r="D7" s="302"/>
      <c r="E7" s="302"/>
      <c r="F7" s="302"/>
      <c r="G7" s="302"/>
      <c r="H7" s="302"/>
      <c r="I7" s="302"/>
      <c r="J7" s="302"/>
      <c r="K7" s="302"/>
      <c r="L7" s="302"/>
      <c r="M7" s="302"/>
      <c r="N7" s="302"/>
      <c r="O7" s="302"/>
      <c r="P7" s="302"/>
      <c r="Q7" s="302"/>
      <c r="R7" s="302"/>
      <c r="S7" s="302"/>
      <c r="T7" s="302"/>
      <c r="U7" s="302"/>
      <c r="V7" s="302"/>
      <c r="W7" s="302"/>
      <c r="X7" s="302"/>
      <c r="Y7" s="302"/>
      <c r="Z7" s="302"/>
      <c r="AA7" s="302"/>
      <c r="AB7" s="302"/>
      <c r="AC7" s="302"/>
    </row>
    <row r="8" spans="1:30" s="94" customFormat="1" ht="18" x14ac:dyDescent="0.25">
      <c r="A8" s="302" t="str">
        <f>'Materi Pelatihan'!A7:AC7</f>
        <v>PELATIHAN KOMPETENSI BERBASIS PARIWISATA DAN INDUSTRI KREATIF</v>
      </c>
      <c r="B8" s="302"/>
      <c r="C8" s="302"/>
      <c r="D8" s="302"/>
      <c r="E8" s="302"/>
      <c r="F8" s="302"/>
      <c r="G8" s="302"/>
      <c r="H8" s="302"/>
      <c r="I8" s="302"/>
      <c r="J8" s="302"/>
      <c r="K8" s="302"/>
      <c r="L8" s="302"/>
      <c r="M8" s="302"/>
      <c r="N8" s="302"/>
      <c r="O8" s="302"/>
      <c r="P8" s="302"/>
      <c r="Q8" s="302"/>
      <c r="R8" s="302"/>
      <c r="S8" s="302"/>
      <c r="T8" s="302"/>
      <c r="U8" s="302"/>
      <c r="V8" s="302"/>
      <c r="W8" s="302"/>
      <c r="X8" s="302"/>
      <c r="Y8" s="302"/>
      <c r="Z8" s="302"/>
      <c r="AA8" s="302"/>
      <c r="AB8" s="302"/>
      <c r="AC8" s="302"/>
    </row>
    <row r="9" spans="1:30" s="94" customFormat="1" ht="18" x14ac:dyDescent="0.25">
      <c r="A9" s="248" t="str">
        <f>'Materi Pelatihan'!A8:AC8</f>
        <v xml:space="preserve">PROGRAM PELATIHAN DASAR ASISTEN PEMBUAT PAKAIAN PAKET 2
</v>
      </c>
      <c r="B9" s="248"/>
      <c r="C9" s="248"/>
      <c r="D9" s="248"/>
      <c r="E9" s="248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</row>
    <row r="10" spans="1:30" s="94" customFormat="1" ht="18" x14ac:dyDescent="0.25">
      <c r="A10" s="292" t="str">
        <f>'Materi Pelatihan'!A9:AC9</f>
        <v>TGL Senin 3 Agustus S.D Jumat 28 Agustus 2026</v>
      </c>
      <c r="B10" s="248"/>
      <c r="C10" s="248"/>
      <c r="D10" s="248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</row>
    <row r="11" spans="1:30" s="94" customFormat="1" ht="15.75" thickBot="1" x14ac:dyDescent="0.3">
      <c r="A11" s="293"/>
      <c r="B11" s="293"/>
      <c r="C11" s="293"/>
      <c r="D11" s="293"/>
      <c r="E11" s="293"/>
      <c r="F11" s="293"/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  <c r="Y11" s="293"/>
      <c r="Z11" s="293"/>
      <c r="AA11" s="293"/>
      <c r="AB11" s="293"/>
      <c r="AC11" s="293"/>
    </row>
    <row r="12" spans="1:30" ht="15.75" thickBot="1" x14ac:dyDescent="0.3">
      <c r="A12" s="294" t="s">
        <v>1</v>
      </c>
      <c r="B12" s="294" t="s">
        <v>60</v>
      </c>
      <c r="C12" s="295" t="s">
        <v>23</v>
      </c>
      <c r="D12" s="296"/>
      <c r="E12" s="296"/>
      <c r="F12" s="296"/>
      <c r="G12" s="296"/>
      <c r="H12" s="296"/>
      <c r="I12" s="296"/>
      <c r="J12" s="296"/>
      <c r="K12" s="296"/>
      <c r="L12" s="296"/>
      <c r="M12" s="296"/>
      <c r="N12" s="296"/>
      <c r="O12" s="296"/>
      <c r="P12" s="296"/>
      <c r="Q12" s="296"/>
      <c r="R12" s="296"/>
      <c r="S12" s="296"/>
      <c r="T12" s="59"/>
      <c r="U12" s="59"/>
      <c r="V12" s="59"/>
      <c r="W12" s="59"/>
      <c r="X12" s="59"/>
      <c r="Y12" s="59"/>
      <c r="Z12" s="59"/>
      <c r="AA12" s="59"/>
      <c r="AB12" s="60"/>
      <c r="AC12" s="299" t="s">
        <v>3</v>
      </c>
    </row>
    <row r="13" spans="1:30" ht="15.75" thickBot="1" x14ac:dyDescent="0.3">
      <c r="A13" s="294"/>
      <c r="B13" s="294"/>
      <c r="C13" s="297"/>
      <c r="D13" s="298"/>
      <c r="E13" s="298"/>
      <c r="F13" s="298"/>
      <c r="G13" s="298"/>
      <c r="H13" s="298"/>
      <c r="I13" s="298"/>
      <c r="J13" s="298"/>
      <c r="K13" s="298"/>
      <c r="L13" s="298"/>
      <c r="M13" s="298"/>
      <c r="N13" s="298"/>
      <c r="O13" s="298"/>
      <c r="P13" s="298"/>
      <c r="Q13" s="298"/>
      <c r="R13" s="298"/>
      <c r="S13" s="298"/>
      <c r="T13" s="61"/>
      <c r="U13" s="61"/>
      <c r="V13" s="61"/>
      <c r="W13" s="61"/>
      <c r="X13" s="61"/>
      <c r="Y13" s="61"/>
      <c r="Z13" s="61"/>
      <c r="AA13" s="61"/>
      <c r="AB13" s="62"/>
      <c r="AC13" s="300"/>
    </row>
    <row r="14" spans="1:30" ht="16.5" thickTop="1" thickBot="1" x14ac:dyDescent="0.3">
      <c r="A14" s="294"/>
      <c r="B14" s="294"/>
      <c r="C14" s="63">
        <v>1</v>
      </c>
      <c r="D14" s="63">
        <v>2</v>
      </c>
      <c r="E14" s="63">
        <v>3</v>
      </c>
      <c r="F14" s="63">
        <v>4</v>
      </c>
      <c r="G14" s="63">
        <v>5</v>
      </c>
      <c r="H14" s="63">
        <v>6</v>
      </c>
      <c r="I14" s="63">
        <v>7</v>
      </c>
      <c r="J14" s="63">
        <v>8</v>
      </c>
      <c r="K14" s="63">
        <v>9</v>
      </c>
      <c r="L14" s="63">
        <v>10</v>
      </c>
      <c r="M14" s="63">
        <v>11</v>
      </c>
      <c r="N14" s="63">
        <v>12</v>
      </c>
      <c r="O14" s="63">
        <v>13</v>
      </c>
      <c r="P14" s="63">
        <v>14</v>
      </c>
      <c r="Q14" s="63">
        <v>15</v>
      </c>
      <c r="R14" s="63">
        <v>16</v>
      </c>
      <c r="S14" s="63" t="s">
        <v>4</v>
      </c>
      <c r="T14" s="64">
        <v>22</v>
      </c>
      <c r="U14" s="65">
        <v>23</v>
      </c>
      <c r="V14" s="65">
        <v>24</v>
      </c>
      <c r="W14" s="65">
        <v>25</v>
      </c>
      <c r="X14" s="65">
        <v>26</v>
      </c>
      <c r="Y14" s="65">
        <v>27</v>
      </c>
      <c r="Z14" s="65">
        <v>28</v>
      </c>
      <c r="AA14" s="65">
        <v>29</v>
      </c>
      <c r="AB14" s="66" t="s">
        <v>5</v>
      </c>
      <c r="AC14" s="301"/>
      <c r="AD14" s="67"/>
    </row>
    <row r="15" spans="1:30" ht="17.25" customHeight="1" thickBot="1" x14ac:dyDescent="0.3">
      <c r="A15" s="186" t="s">
        <v>45</v>
      </c>
      <c r="B15" s="70" t="s">
        <v>64</v>
      </c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2"/>
      <c r="N15" s="322"/>
      <c r="O15" s="322"/>
      <c r="P15" s="322"/>
      <c r="Q15" s="322"/>
      <c r="R15" s="322"/>
      <c r="S15" s="322"/>
      <c r="T15" s="71"/>
      <c r="U15" s="71"/>
      <c r="V15" s="71"/>
      <c r="W15" s="71"/>
      <c r="X15" s="71"/>
      <c r="Y15" s="71"/>
      <c r="Z15" s="71"/>
      <c r="AA15" s="71"/>
      <c r="AB15" s="70"/>
      <c r="AC15" s="72"/>
    </row>
    <row r="16" spans="1:30" ht="39" customHeight="1" x14ac:dyDescent="0.25">
      <c r="A16" s="174">
        <v>1</v>
      </c>
      <c r="B16" s="177" t="s">
        <v>48</v>
      </c>
      <c r="C16" s="73">
        <f>'KOLOM ISIAN'!C40</f>
        <v>3</v>
      </c>
      <c r="D16" s="73">
        <f>'KOLOM ISIAN'!D40</f>
        <v>5</v>
      </c>
      <c r="E16" s="73">
        <f>'KOLOM ISIAN'!E40</f>
        <v>4</v>
      </c>
      <c r="F16" s="73">
        <f>'KOLOM ISIAN'!F40</f>
        <v>5</v>
      </c>
      <c r="G16" s="73">
        <f>'KOLOM ISIAN'!G40</f>
        <v>5</v>
      </c>
      <c r="H16" s="73">
        <f>'KOLOM ISIAN'!H40</f>
        <v>5</v>
      </c>
      <c r="I16" s="73">
        <f>'KOLOM ISIAN'!I40</f>
        <v>4</v>
      </c>
      <c r="J16" s="73">
        <f>'KOLOM ISIAN'!J40</f>
        <v>4</v>
      </c>
      <c r="K16" s="73">
        <f>'KOLOM ISIAN'!K40</f>
        <v>4</v>
      </c>
      <c r="L16" s="73">
        <f>'KOLOM ISIAN'!L40</f>
        <v>5</v>
      </c>
      <c r="M16" s="73">
        <f>'KOLOM ISIAN'!M40</f>
        <v>4</v>
      </c>
      <c r="N16" s="73">
        <f>'KOLOM ISIAN'!N40</f>
        <v>5</v>
      </c>
      <c r="O16" s="73">
        <f>'KOLOM ISIAN'!O40</f>
        <v>0</v>
      </c>
      <c r="P16" s="73">
        <f>'KOLOM ISIAN'!P40</f>
        <v>0</v>
      </c>
      <c r="Q16" s="73">
        <f>'KOLOM ISIAN'!Q40</f>
        <v>0</v>
      </c>
      <c r="R16" s="73">
        <f>'KOLOM ISIAN'!R40</f>
        <v>0</v>
      </c>
      <c r="S16" s="74">
        <f>SUM(C16:R16)/12</f>
        <v>4.416666666666667</v>
      </c>
      <c r="T16" s="175"/>
      <c r="U16" s="175"/>
      <c r="V16" s="175"/>
      <c r="W16" s="175"/>
      <c r="X16" s="175"/>
      <c r="Y16" s="175"/>
      <c r="Z16" s="175"/>
      <c r="AA16" s="175"/>
      <c r="AB16" s="76"/>
      <c r="AC16" s="175" t="str">
        <f t="shared" ref="AC16:AC20" si="0">IF(S16&gt;=2.95,"BAIK",IF(S16&gt;=1.95,"CUKUP","KURANG"))</f>
        <v>BAIK</v>
      </c>
    </row>
    <row r="17" spans="1:29" ht="36.75" customHeight="1" x14ac:dyDescent="0.25">
      <c r="A17" s="174">
        <v>2</v>
      </c>
      <c r="B17" s="177" t="s">
        <v>49</v>
      </c>
      <c r="C17" s="73">
        <f>'KOLOM ISIAN'!C41</f>
        <v>5</v>
      </c>
      <c r="D17" s="73">
        <f>'KOLOM ISIAN'!D41</f>
        <v>5</v>
      </c>
      <c r="E17" s="73">
        <f>'KOLOM ISIAN'!E41</f>
        <v>5</v>
      </c>
      <c r="F17" s="73">
        <f>'KOLOM ISIAN'!F41</f>
        <v>5</v>
      </c>
      <c r="G17" s="73">
        <f>'KOLOM ISIAN'!G41</f>
        <v>4</v>
      </c>
      <c r="H17" s="73">
        <f>'KOLOM ISIAN'!H41</f>
        <v>5</v>
      </c>
      <c r="I17" s="73">
        <f>'KOLOM ISIAN'!I41</f>
        <v>4</v>
      </c>
      <c r="J17" s="73">
        <f>'KOLOM ISIAN'!J41</f>
        <v>4</v>
      </c>
      <c r="K17" s="73">
        <f>'KOLOM ISIAN'!K41</f>
        <v>5</v>
      </c>
      <c r="L17" s="73">
        <f>'KOLOM ISIAN'!L41</f>
        <v>5</v>
      </c>
      <c r="M17" s="73">
        <f>'KOLOM ISIAN'!M41</f>
        <v>4</v>
      </c>
      <c r="N17" s="73">
        <f>'KOLOM ISIAN'!N41</f>
        <v>4</v>
      </c>
      <c r="O17" s="73">
        <f>'KOLOM ISIAN'!O39:AD39</f>
        <v>0</v>
      </c>
      <c r="P17" s="73">
        <f>'KOLOM ISIAN'!P39:AE39</f>
        <v>0</v>
      </c>
      <c r="Q17" s="73">
        <f>'KOLOM ISIAN'!Q39:AF39</f>
        <v>0</v>
      </c>
      <c r="R17" s="73">
        <f>'KOLOM ISIAN'!R39:AG39</f>
        <v>0</v>
      </c>
      <c r="S17" s="74">
        <f t="shared" ref="S17:S20" si="1">SUM(C17:R17)/12</f>
        <v>4.583333333333333</v>
      </c>
      <c r="T17" s="175"/>
      <c r="U17" s="175"/>
      <c r="V17" s="175"/>
      <c r="W17" s="175"/>
      <c r="X17" s="175"/>
      <c r="Y17" s="175"/>
      <c r="Z17" s="175"/>
      <c r="AA17" s="175"/>
      <c r="AB17" s="76"/>
      <c r="AC17" s="175" t="str">
        <f t="shared" si="0"/>
        <v>BAIK</v>
      </c>
    </row>
    <row r="18" spans="1:29" ht="46.5" customHeight="1" x14ac:dyDescent="0.25">
      <c r="A18" s="174">
        <v>3</v>
      </c>
      <c r="B18" s="177" t="s">
        <v>50</v>
      </c>
      <c r="C18" s="73">
        <f>'KOLOM ISIAN'!C42</f>
        <v>3</v>
      </c>
      <c r="D18" s="73">
        <f>'KOLOM ISIAN'!D42</f>
        <v>5</v>
      </c>
      <c r="E18" s="73">
        <f>'KOLOM ISIAN'!E42</f>
        <v>4</v>
      </c>
      <c r="F18" s="73">
        <f>'KOLOM ISIAN'!F42</f>
        <v>5</v>
      </c>
      <c r="G18" s="73">
        <f>'KOLOM ISIAN'!G42</f>
        <v>5</v>
      </c>
      <c r="H18" s="73">
        <f>'KOLOM ISIAN'!H42</f>
        <v>3</v>
      </c>
      <c r="I18" s="73">
        <f>'KOLOM ISIAN'!I42</f>
        <v>5</v>
      </c>
      <c r="J18" s="73">
        <f>'KOLOM ISIAN'!J42</f>
        <v>4</v>
      </c>
      <c r="K18" s="73">
        <f>'KOLOM ISIAN'!K42</f>
        <v>5</v>
      </c>
      <c r="L18" s="73">
        <f>'KOLOM ISIAN'!L42</f>
        <v>5</v>
      </c>
      <c r="M18" s="73">
        <f>'KOLOM ISIAN'!M40:AB40</f>
        <v>4</v>
      </c>
      <c r="N18" s="73">
        <f>'KOLOM ISIAN'!N40:AC40</f>
        <v>5</v>
      </c>
      <c r="O18" s="73">
        <f>'KOLOM ISIAN'!O40:AD40</f>
        <v>0</v>
      </c>
      <c r="P18" s="73">
        <f>'KOLOM ISIAN'!P40:AE40</f>
        <v>0</v>
      </c>
      <c r="Q18" s="73">
        <f>'KOLOM ISIAN'!Q40:AF40</f>
        <v>0</v>
      </c>
      <c r="R18" s="73">
        <f>'KOLOM ISIAN'!R40:AG40</f>
        <v>0</v>
      </c>
      <c r="S18" s="74">
        <f t="shared" si="1"/>
        <v>4.416666666666667</v>
      </c>
      <c r="T18" s="175"/>
      <c r="U18" s="175"/>
      <c r="V18" s="175"/>
      <c r="W18" s="175"/>
      <c r="X18" s="175"/>
      <c r="Y18" s="175"/>
      <c r="Z18" s="175"/>
      <c r="AA18" s="175"/>
      <c r="AB18" s="76"/>
      <c r="AC18" s="175" t="str">
        <f t="shared" si="0"/>
        <v>BAIK</v>
      </c>
    </row>
    <row r="19" spans="1:29" ht="46.5" customHeight="1" x14ac:dyDescent="0.25">
      <c r="A19" s="174">
        <v>4</v>
      </c>
      <c r="B19" s="178" t="s">
        <v>63</v>
      </c>
      <c r="C19" s="73">
        <f>'KOLOM ISIAN'!C43</f>
        <v>5</v>
      </c>
      <c r="D19" s="73">
        <f>'KOLOM ISIAN'!D43</f>
        <v>5</v>
      </c>
      <c r="E19" s="73">
        <f>'KOLOM ISIAN'!E43</f>
        <v>5</v>
      </c>
      <c r="F19" s="73">
        <f>'KOLOM ISIAN'!F43</f>
        <v>5</v>
      </c>
      <c r="G19" s="73">
        <f>'KOLOM ISIAN'!G43</f>
        <v>5</v>
      </c>
      <c r="H19" s="73">
        <f>'KOLOM ISIAN'!H43</f>
        <v>4</v>
      </c>
      <c r="I19" s="73">
        <f>'KOLOM ISIAN'!I43</f>
        <v>5</v>
      </c>
      <c r="J19" s="73">
        <f>'KOLOM ISIAN'!J43</f>
        <v>5</v>
      </c>
      <c r="K19" s="73">
        <f>'KOLOM ISIAN'!K43</f>
        <v>5</v>
      </c>
      <c r="L19" s="73">
        <f>'KOLOM ISIAN'!L43</f>
        <v>5</v>
      </c>
      <c r="M19" s="73">
        <f>'KOLOM ISIAN'!M41:AB41</f>
        <v>4</v>
      </c>
      <c r="N19" s="73">
        <f>'KOLOM ISIAN'!N41:AC41</f>
        <v>4</v>
      </c>
      <c r="O19" s="73">
        <f>'KOLOM ISIAN'!O41:AD41</f>
        <v>0</v>
      </c>
      <c r="P19" s="73">
        <f>'KOLOM ISIAN'!P41:AE41</f>
        <v>0</v>
      </c>
      <c r="Q19" s="73">
        <f>'KOLOM ISIAN'!Q41:AF41</f>
        <v>0</v>
      </c>
      <c r="R19" s="73">
        <f>'KOLOM ISIAN'!R41:AG41</f>
        <v>0</v>
      </c>
      <c r="S19" s="74">
        <f t="shared" si="1"/>
        <v>4.75</v>
      </c>
      <c r="T19" s="175"/>
      <c r="U19" s="175"/>
      <c r="V19" s="175"/>
      <c r="W19" s="175"/>
      <c r="X19" s="175"/>
      <c r="Y19" s="175"/>
      <c r="Z19" s="175"/>
      <c r="AA19" s="175"/>
      <c r="AB19" s="76"/>
      <c r="AC19" s="175" t="str">
        <f t="shared" si="0"/>
        <v>BAIK</v>
      </c>
    </row>
    <row r="20" spans="1:29" ht="46.5" customHeight="1" thickBot="1" x14ac:dyDescent="0.3">
      <c r="A20" s="174">
        <v>5</v>
      </c>
      <c r="B20" s="177" t="s">
        <v>52</v>
      </c>
      <c r="C20" s="73">
        <f>'KOLOM ISIAN'!C44</f>
        <v>5</v>
      </c>
      <c r="D20" s="73">
        <f>'KOLOM ISIAN'!D44</f>
        <v>5</v>
      </c>
      <c r="E20" s="73">
        <f>'KOLOM ISIAN'!E44</f>
        <v>5</v>
      </c>
      <c r="F20" s="73">
        <f>'KOLOM ISIAN'!F44</f>
        <v>5</v>
      </c>
      <c r="G20" s="73">
        <f>'KOLOM ISIAN'!G44</f>
        <v>5</v>
      </c>
      <c r="H20" s="73">
        <f>'KOLOM ISIAN'!H44</f>
        <v>5</v>
      </c>
      <c r="I20" s="73">
        <f>'KOLOM ISIAN'!I44</f>
        <v>4</v>
      </c>
      <c r="J20" s="73">
        <f>'KOLOM ISIAN'!J44</f>
        <v>4</v>
      </c>
      <c r="K20" s="73">
        <f>'KOLOM ISIAN'!K44</f>
        <v>5</v>
      </c>
      <c r="L20" s="73">
        <f>'KOLOM ISIAN'!L44</f>
        <v>5</v>
      </c>
      <c r="M20" s="73">
        <f>'KOLOM ISIAN'!M42:AB42</f>
        <v>2</v>
      </c>
      <c r="N20" s="73">
        <f>'KOLOM ISIAN'!N42:AC42</f>
        <v>3</v>
      </c>
      <c r="O20" s="73">
        <f>'KOLOM ISIAN'!O42:AD42</f>
        <v>0</v>
      </c>
      <c r="P20" s="73">
        <f>'KOLOM ISIAN'!P42:AE42</f>
        <v>0</v>
      </c>
      <c r="Q20" s="73">
        <f>'KOLOM ISIAN'!Q42:AF42</f>
        <v>0</v>
      </c>
      <c r="R20" s="73">
        <f>'KOLOM ISIAN'!R42:AG42</f>
        <v>0</v>
      </c>
      <c r="S20" s="74">
        <f t="shared" si="1"/>
        <v>4.416666666666667</v>
      </c>
      <c r="T20" s="179"/>
      <c r="U20" s="179"/>
      <c r="V20" s="179"/>
      <c r="W20" s="179"/>
      <c r="X20" s="179"/>
      <c r="Y20" s="179"/>
      <c r="Z20" s="179"/>
      <c r="AA20" s="179"/>
      <c r="AB20" s="163"/>
      <c r="AC20" s="179" t="str">
        <f t="shared" si="0"/>
        <v>BAIK</v>
      </c>
    </row>
    <row r="21" spans="1:29" ht="20.25" customHeight="1" thickBot="1" x14ac:dyDescent="0.3">
      <c r="A21" s="78"/>
      <c r="B21" s="79"/>
      <c r="C21" s="319" t="s">
        <v>4</v>
      </c>
      <c r="D21" s="320"/>
      <c r="E21" s="320"/>
      <c r="F21" s="320"/>
      <c r="G21" s="320"/>
      <c r="H21" s="320"/>
      <c r="I21" s="320"/>
      <c r="J21" s="320"/>
      <c r="K21" s="320"/>
      <c r="L21" s="320"/>
      <c r="M21" s="320"/>
      <c r="N21" s="320"/>
      <c r="O21" s="320"/>
      <c r="P21" s="320"/>
      <c r="Q21" s="320"/>
      <c r="R21" s="321"/>
      <c r="S21" s="164">
        <f>AVERAGE(S16:S20)</f>
        <v>4.5166666666666675</v>
      </c>
      <c r="T21" s="176"/>
      <c r="U21" s="176"/>
      <c r="V21" s="176"/>
      <c r="W21" s="176"/>
      <c r="X21" s="176"/>
      <c r="Y21" s="176"/>
      <c r="Z21" s="176"/>
      <c r="AA21" s="176"/>
      <c r="AB21" s="78"/>
      <c r="AC21" s="176" t="str">
        <f t="shared" ref="AC21" si="2">IF(S21&gt;=2.95,"BAIK",IF(S21&gt;=1.95,"CUKUP","KURANG"))</f>
        <v>BAIK</v>
      </c>
    </row>
    <row r="22" spans="1:29" x14ac:dyDescent="0.25">
      <c r="A22" s="80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2"/>
      <c r="T22" s="83"/>
      <c r="U22" s="83"/>
      <c r="V22" s="83"/>
      <c r="W22" s="83"/>
      <c r="X22" s="83"/>
      <c r="Y22" s="83"/>
      <c r="Z22" s="83"/>
      <c r="AA22" s="83"/>
      <c r="AB22" s="84"/>
      <c r="AC22" s="83"/>
    </row>
    <row r="23" spans="1:29" x14ac:dyDescent="0.25">
      <c r="A23" s="80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2"/>
      <c r="T23" s="83"/>
      <c r="U23" s="83"/>
      <c r="V23" s="83"/>
      <c r="W23" s="83"/>
      <c r="X23" s="83"/>
      <c r="Y23" s="83"/>
      <c r="Z23" s="83"/>
      <c r="AA23" s="83"/>
      <c r="AB23" s="84"/>
      <c r="AC23" s="83"/>
    </row>
    <row r="24" spans="1:29" x14ac:dyDescent="0.25">
      <c r="A24" s="80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2"/>
      <c r="T24" s="83"/>
      <c r="U24" s="83"/>
      <c r="V24" s="83"/>
      <c r="W24" s="83"/>
      <c r="X24" s="83"/>
      <c r="Y24" s="83"/>
      <c r="Z24" s="83"/>
      <c r="AA24" s="83"/>
      <c r="AB24" s="84"/>
      <c r="AC24" s="83"/>
    </row>
    <row r="25" spans="1:29" x14ac:dyDescent="0.25">
      <c r="A25" s="80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2"/>
      <c r="T25" s="83"/>
      <c r="U25" s="83"/>
      <c r="V25" s="83"/>
      <c r="W25" s="83"/>
      <c r="X25" s="83"/>
      <c r="Y25" s="83"/>
      <c r="Z25" s="83"/>
      <c r="AA25" s="83"/>
      <c r="AB25" s="84"/>
      <c r="AC25" s="83"/>
    </row>
    <row r="26" spans="1:29" x14ac:dyDescent="0.25"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AB26" s="290"/>
      <c r="AC26" s="290"/>
    </row>
    <row r="27" spans="1:29" x14ac:dyDescent="0.25"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AB27" s="85"/>
      <c r="AC27" s="85"/>
    </row>
    <row r="28" spans="1:29" x14ac:dyDescent="0.25"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</row>
    <row r="29" spans="1:29" x14ac:dyDescent="0.25"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</row>
    <row r="30" spans="1:29" x14ac:dyDescent="0.25">
      <c r="B30" s="86"/>
    </row>
    <row r="31" spans="1:29" x14ac:dyDescent="0.25">
      <c r="A31" s="291"/>
      <c r="B31" s="291"/>
      <c r="C31" s="80"/>
      <c r="D31" s="80"/>
      <c r="E31" s="80"/>
      <c r="F31" s="80"/>
      <c r="G31" s="80"/>
      <c r="H31" s="80"/>
      <c r="I31" s="80"/>
      <c r="J31" s="80"/>
      <c r="K31" s="80"/>
      <c r="L31" s="80"/>
      <c r="AB31" s="291"/>
      <c r="AC31" s="291"/>
    </row>
  </sheetData>
  <mergeCells count="18">
    <mergeCell ref="AB26:AC26"/>
    <mergeCell ref="A31:B31"/>
    <mergeCell ref="AB31:AC31"/>
    <mergeCell ref="C21:R21"/>
    <mergeCell ref="A10:AC10"/>
    <mergeCell ref="A11:AC11"/>
    <mergeCell ref="A12:A14"/>
    <mergeCell ref="B12:B14"/>
    <mergeCell ref="C12:S13"/>
    <mergeCell ref="AC12:AC14"/>
    <mergeCell ref="C15:S15"/>
    <mergeCell ref="A9:AC9"/>
    <mergeCell ref="A8:AC8"/>
    <mergeCell ref="A1:AC1"/>
    <mergeCell ref="A2:AC2"/>
    <mergeCell ref="A3:AC3"/>
    <mergeCell ref="A4:AC4"/>
    <mergeCell ref="A7:AC7"/>
  </mergeCells>
  <pageMargins left="0.7" right="0.7" top="0.75" bottom="0.75" header="0.3" footer="0.3"/>
  <pageSetup scale="7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0"/>
  <sheetViews>
    <sheetView showZeros="0" view="pageBreakPreview" zoomScaleSheetLayoutView="100" workbookViewId="0">
      <selection activeCell="F16" sqref="F16"/>
    </sheetView>
  </sheetViews>
  <sheetFormatPr defaultColWidth="9.140625" defaultRowHeight="12.75" x14ac:dyDescent="0.2"/>
  <cols>
    <col min="1" max="1" width="11" customWidth="1"/>
    <col min="2" max="2" width="4.28515625" customWidth="1"/>
    <col min="3" max="3" width="7" customWidth="1"/>
    <col min="5" max="5" width="49.85546875" customWidth="1"/>
    <col min="6" max="6" width="46.42578125" customWidth="1"/>
    <col min="7" max="7" width="9.140625" customWidth="1"/>
  </cols>
  <sheetData>
    <row r="1" spans="1:21" s="88" customFormat="1" ht="18.75" x14ac:dyDescent="0.3">
      <c r="A1" s="269" t="s">
        <v>24</v>
      </c>
      <c r="B1" s="269"/>
      <c r="C1" s="269"/>
      <c r="D1" s="269"/>
      <c r="E1" s="269"/>
      <c r="F1" s="269"/>
    </row>
    <row r="2" spans="1:21" s="88" customFormat="1" ht="15.75" x14ac:dyDescent="0.25">
      <c r="A2" s="270" t="s">
        <v>21</v>
      </c>
      <c r="B2" s="270"/>
      <c r="C2" s="270"/>
      <c r="D2" s="270"/>
      <c r="E2" s="270"/>
      <c r="F2" s="270"/>
    </row>
    <row r="3" spans="1:21" s="88" customFormat="1" ht="21" x14ac:dyDescent="0.2">
      <c r="A3" s="254" t="str">
        <f>Histogram!A3</f>
        <v>BALAI PELATIHAN VOKASI DAN PRODUKTIVITAS</v>
      </c>
      <c r="B3" s="254"/>
      <c r="C3" s="254"/>
      <c r="D3" s="254"/>
      <c r="E3" s="254"/>
      <c r="F3" s="254"/>
    </row>
    <row r="4" spans="1:21" s="88" customFormat="1" x14ac:dyDescent="0.2">
      <c r="A4" s="271" t="s">
        <v>22</v>
      </c>
      <c r="B4" s="271"/>
      <c r="C4" s="271"/>
      <c r="D4" s="271"/>
      <c r="E4" s="271"/>
      <c r="F4" s="271"/>
    </row>
    <row r="5" spans="1:21" s="88" customFormat="1" x14ac:dyDescent="0.2">
      <c r="A5" s="87"/>
      <c r="C5" s="89"/>
      <c r="D5" s="89"/>
    </row>
    <row r="6" spans="1:21" s="91" customFormat="1" ht="20.100000000000001" customHeight="1" x14ac:dyDescent="0.2">
      <c r="A6" s="248" t="str">
        <f>'Materi Pelatihan'!$A$6:$AC$6</f>
        <v>HASIL EVALUASI</v>
      </c>
      <c r="B6" s="248"/>
      <c r="C6" s="248"/>
      <c r="D6" s="248"/>
      <c r="E6" s="248"/>
      <c r="F6" s="248"/>
    </row>
    <row r="7" spans="1:21" s="88" customFormat="1" ht="18" x14ac:dyDescent="0.25">
      <c r="A7" s="248" t="str">
        <f>'Materi Pelatihan'!A7:AC7</f>
        <v>PELATIHAN KOMPETENSI BERBASIS PARIWISATA DAN INDUSTRI KREATIF</v>
      </c>
      <c r="B7" s="248"/>
      <c r="C7" s="248"/>
      <c r="D7" s="248"/>
      <c r="E7" s="248"/>
      <c r="F7" s="24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</row>
    <row r="8" spans="1:21" s="88" customFormat="1" ht="18" x14ac:dyDescent="0.25">
      <c r="A8" s="248" t="str">
        <f>'Materi Pelatihan'!A8:AC8</f>
        <v xml:space="preserve">PROGRAM PELATIHAN DASAR ASISTEN PEMBUAT PAKAIAN PAKET 2
</v>
      </c>
      <c r="B8" s="248"/>
      <c r="C8" s="248"/>
      <c r="D8" s="248"/>
      <c r="E8" s="248"/>
      <c r="F8" s="24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</row>
    <row r="9" spans="1:21" s="88" customFormat="1" ht="18" x14ac:dyDescent="0.25">
      <c r="A9" s="292" t="str">
        <f>'Materi Pelatihan'!A9:AC9</f>
        <v>TGL Senin 3 Agustus S.D Jumat 28 Agustus 2026</v>
      </c>
      <c r="B9" s="248"/>
      <c r="C9" s="248"/>
      <c r="D9" s="248"/>
      <c r="E9" s="248"/>
      <c r="F9" s="24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</row>
    <row r="10" spans="1:21" s="88" customFormat="1" ht="21" customHeight="1" thickBot="1" x14ac:dyDescent="0.25">
      <c r="A10" s="326"/>
      <c r="B10" s="326"/>
      <c r="C10" s="326"/>
      <c r="D10" s="326"/>
      <c r="E10" s="326"/>
      <c r="F10" s="326"/>
    </row>
    <row r="11" spans="1:21" ht="20.25" customHeight="1" x14ac:dyDescent="0.2">
      <c r="A11" s="331" t="s">
        <v>1</v>
      </c>
      <c r="B11" s="331" t="s">
        <v>15</v>
      </c>
      <c r="C11" s="333"/>
      <c r="D11" s="333"/>
      <c r="E11" s="334"/>
      <c r="F11" s="329" t="s">
        <v>16</v>
      </c>
    </row>
    <row r="12" spans="1:21" ht="13.5" customHeight="1" thickBot="1" x14ac:dyDescent="0.25">
      <c r="A12" s="332"/>
      <c r="B12" s="332"/>
      <c r="C12" s="335"/>
      <c r="D12" s="335"/>
      <c r="E12" s="336"/>
      <c r="F12" s="330"/>
    </row>
    <row r="13" spans="1:21" ht="2.25" customHeight="1" thickTop="1" x14ac:dyDescent="0.2">
      <c r="A13" s="8"/>
      <c r="B13" s="51"/>
      <c r="C13" s="51"/>
      <c r="D13" s="51"/>
      <c r="E13" s="51"/>
      <c r="F13" s="52"/>
    </row>
    <row r="14" spans="1:21" ht="46.5" customHeight="1" x14ac:dyDescent="0.2">
      <c r="A14" s="53" t="s">
        <v>8</v>
      </c>
      <c r="B14" s="324" t="s">
        <v>58</v>
      </c>
      <c r="C14" s="324"/>
      <c r="D14" s="324"/>
      <c r="E14" s="324"/>
      <c r="F14" s="14">
        <f>INSTRUKTUR!S16</f>
        <v>5</v>
      </c>
    </row>
    <row r="15" spans="1:21" ht="41.25" customHeight="1" x14ac:dyDescent="0.2">
      <c r="A15" s="53" t="s">
        <v>9</v>
      </c>
      <c r="B15" s="324" t="s">
        <v>55</v>
      </c>
      <c r="C15" s="324"/>
      <c r="D15" s="324"/>
      <c r="E15" s="324"/>
      <c r="F15" s="14">
        <f>INSTRUKTUR!S17</f>
        <v>5</v>
      </c>
    </row>
    <row r="16" spans="1:21" ht="39" customHeight="1" x14ac:dyDescent="0.2">
      <c r="A16" s="54" t="s">
        <v>10</v>
      </c>
      <c r="B16" s="325" t="s">
        <v>56</v>
      </c>
      <c r="C16" s="325"/>
      <c r="D16" s="325"/>
      <c r="E16" s="325"/>
      <c r="F16" s="14">
        <f>INSTRUKTUR!S18</f>
        <v>4.833333333333333</v>
      </c>
    </row>
    <row r="17" spans="1:17" ht="39" customHeight="1" thickBot="1" x14ac:dyDescent="0.25">
      <c r="A17" s="42" t="s">
        <v>18</v>
      </c>
      <c r="B17" s="327" t="s">
        <v>57</v>
      </c>
      <c r="C17" s="327"/>
      <c r="D17" s="327"/>
      <c r="E17" s="327"/>
      <c r="F17" s="14">
        <f>INSTRUKTUR!S19</f>
        <v>4.916666666666667</v>
      </c>
      <c r="Q17" s="117"/>
    </row>
    <row r="18" spans="1:17" ht="22.5" customHeight="1" thickBot="1" x14ac:dyDescent="0.25">
      <c r="A18" s="328" t="s">
        <v>17</v>
      </c>
      <c r="B18" s="328"/>
      <c r="C18" s="328"/>
      <c r="D18" s="328"/>
      <c r="E18" s="328"/>
      <c r="F18" s="55">
        <f>AVERAGE(F14:F17)</f>
        <v>4.9375</v>
      </c>
      <c r="H18" s="12"/>
      <c r="Q18" s="117"/>
    </row>
    <row r="19" spans="1:17" s="88" customFormat="1" ht="15" x14ac:dyDescent="0.2">
      <c r="Q19" s="102"/>
    </row>
    <row r="20" spans="1:17" s="88" customFormat="1" ht="15" x14ac:dyDescent="0.2">
      <c r="Q20" s="102"/>
    </row>
    <row r="21" spans="1:17" s="88" customFormat="1" ht="15" x14ac:dyDescent="0.2">
      <c r="A21" s="107"/>
      <c r="B21" s="103"/>
      <c r="C21" s="103"/>
      <c r="D21" s="95"/>
      <c r="Q21" s="102"/>
    </row>
    <row r="22" spans="1:17" s="88" customFormat="1" ht="15.75" x14ac:dyDescent="0.2">
      <c r="A22" s="323"/>
      <c r="B22" s="323"/>
      <c r="C22" s="323"/>
      <c r="D22" s="323"/>
      <c r="Q22" s="118"/>
    </row>
    <row r="23" spans="1:17" s="88" customFormat="1" ht="15" x14ac:dyDescent="0.2">
      <c r="A23" s="107"/>
      <c r="B23" s="103"/>
      <c r="C23" s="103"/>
      <c r="D23" s="103"/>
      <c r="Q23" s="102"/>
    </row>
    <row r="24" spans="1:17" s="88" customFormat="1" ht="15" x14ac:dyDescent="0.2">
      <c r="A24" s="107"/>
      <c r="B24" s="103"/>
      <c r="C24" s="103"/>
      <c r="D24" s="103"/>
    </row>
    <row r="25" spans="1:17" s="88" customFormat="1" ht="15" x14ac:dyDescent="0.2">
      <c r="A25" s="107"/>
      <c r="B25" s="103"/>
      <c r="C25" s="103"/>
      <c r="D25" s="103"/>
    </row>
    <row r="26" spans="1:17" s="88" customFormat="1" ht="15" x14ac:dyDescent="0.2">
      <c r="A26" s="107"/>
      <c r="B26" s="103"/>
      <c r="C26" s="103"/>
      <c r="D26" s="103"/>
    </row>
    <row r="27" spans="1:17" s="88" customFormat="1" ht="15" x14ac:dyDescent="0.2">
      <c r="A27" s="95"/>
      <c r="B27" s="95"/>
      <c r="C27" s="103"/>
      <c r="D27" s="95"/>
    </row>
    <row r="28" spans="1:17" ht="15" x14ac:dyDescent="0.2">
      <c r="A28" s="51"/>
      <c r="B28" s="51"/>
      <c r="C28" s="51"/>
      <c r="D28" s="51"/>
      <c r="F28" s="50"/>
    </row>
    <row r="29" spans="1:17" ht="15" x14ac:dyDescent="0.2">
      <c r="A29" s="51"/>
      <c r="B29" s="51"/>
      <c r="C29" s="51"/>
      <c r="D29" s="51"/>
      <c r="E29" s="51"/>
      <c r="F29" s="51"/>
    </row>
    <row r="30" spans="1:17" ht="15" x14ac:dyDescent="0.2">
      <c r="A30" s="51"/>
      <c r="B30" s="51"/>
      <c r="C30" s="51"/>
      <c r="D30" s="51"/>
      <c r="E30" s="51"/>
      <c r="F30" s="51"/>
    </row>
  </sheetData>
  <mergeCells count="18">
    <mergeCell ref="A1:F1"/>
    <mergeCell ref="A2:F2"/>
    <mergeCell ref="A3:F3"/>
    <mergeCell ref="A4:F4"/>
    <mergeCell ref="A6:F6"/>
    <mergeCell ref="A7:F7"/>
    <mergeCell ref="A9:F9"/>
    <mergeCell ref="A11:A12"/>
    <mergeCell ref="B11:E12"/>
    <mergeCell ref="B14:E14"/>
    <mergeCell ref="A8:F8"/>
    <mergeCell ref="A22:D22"/>
    <mergeCell ref="B15:E15"/>
    <mergeCell ref="B16:E16"/>
    <mergeCell ref="A10:F10"/>
    <mergeCell ref="B17:E17"/>
    <mergeCell ref="A18:E18"/>
    <mergeCell ref="F11:F12"/>
  </mergeCells>
  <printOptions horizontalCentered="1"/>
  <pageMargins left="0.7" right="0.7" top="0.75" bottom="0.75" header="0.3" footer="0.3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KOLOM ISIAN</vt:lpstr>
      <vt:lpstr>Histogram</vt:lpstr>
      <vt:lpstr>Materi Pelatihan</vt:lpstr>
      <vt:lpstr>Program Pelatihan</vt:lpstr>
      <vt:lpstr>INSTRUKTUR</vt:lpstr>
      <vt:lpstr>Penyelenggaraan</vt:lpstr>
      <vt:lpstr>NILAI INST</vt:lpstr>
      <vt:lpstr>Histogram!Print_Area</vt:lpstr>
      <vt:lpstr>INSTRUKTUR!Print_Area</vt:lpstr>
      <vt:lpstr>'KOLOM ISIAN'!Print_Area</vt:lpstr>
      <vt:lpstr>'Materi Pelatihan'!Print_Area</vt:lpstr>
      <vt:lpstr>'NILAI INST'!Print_Area</vt:lpstr>
      <vt:lpstr>Penyelenggaraan!Print_Area</vt:lpstr>
      <vt:lpstr>'Program Pelatihan'!Print_Area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Annisa Nurfadilah</cp:lastModifiedBy>
  <cp:lastPrinted>2025-08-21T01:07:36Z</cp:lastPrinted>
  <dcterms:created xsi:type="dcterms:W3CDTF">2009-04-29T03:20:55Z</dcterms:created>
  <dcterms:modified xsi:type="dcterms:W3CDTF">2026-08-27T00:51:40Z</dcterms:modified>
</cp:coreProperties>
</file>